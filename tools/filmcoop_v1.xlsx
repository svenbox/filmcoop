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ktioner" sheetId="1" state="visible" r:id="rId1"/>
    <sheet xmlns:r="http://schemas.openxmlformats.org/officeDocument/2006/relationships" name="Projektinställningar" sheetId="2" state="visible" r:id="rId2"/>
    <sheet xmlns:r="http://schemas.openxmlformats.org/officeDocument/2006/relationships" name="Egeninsats &amp; Poäng" sheetId="3" state="visible" r:id="rId3"/>
    <sheet xmlns:r="http://schemas.openxmlformats.org/officeDocument/2006/relationships" name="Equity Dashboard" sheetId="4" state="visible" r:id="rId4"/>
    <sheet xmlns:r="http://schemas.openxmlformats.org/officeDocument/2006/relationships" name="Fasbudget" sheetId="5" state="visible" r:id="rId5"/>
    <sheet xmlns:r="http://schemas.openxmlformats.org/officeDocument/2006/relationships" name="Waterfall Simulering" sheetId="6" state="visible" r:id="rId6"/>
    <sheet xmlns:r="http://schemas.openxmlformats.org/officeDocument/2006/relationships" name="Personutdra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3C5E"/>
      <sz val="16"/>
    </font>
    <font>
      <name val="Arial"/>
      <charset val="1"/>
      <family val="0"/>
      <i val="1"/>
      <color rgb="FF2E6DA4"/>
      <sz val="11"/>
    </font>
    <font>
      <name val="Arial"/>
      <charset val="1"/>
      <family val="0"/>
      <b val="1"/>
      <color rgb="FF1A3C5E"/>
      <sz val="11"/>
    </font>
    <font>
      <name val="Arial"/>
      <charset val="1"/>
      <family val="0"/>
      <color rgb="FF1A3C5E"/>
      <sz val="10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1A3C5E"/>
      <sz val="10"/>
    </font>
    <font>
      <name val="Arial"/>
      <charset val="1"/>
      <family val="0"/>
      <b val="1"/>
      <color rgb="FF1A3C5E"/>
      <sz val="14"/>
    </font>
    <font>
      <name val="Arial"/>
      <charset val="1"/>
      <family val="0"/>
      <color rgb="FF0000CC"/>
      <sz val="10"/>
    </font>
    <font>
      <name val="Arial"/>
      <charset val="1"/>
      <family val="0"/>
      <i val="1"/>
      <color rgb="FF999999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color rgb="FF999999"/>
      <sz val="9"/>
    </font>
    <font>
      <name val="Arial"/>
      <charset val="1"/>
      <family val="0"/>
      <b val="1"/>
      <color rgb="FF1B5E2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CCCCCC"/>
      <sz val="9"/>
    </font>
    <font>
      <name val="Arial"/>
      <charset val="1"/>
      <family val="0"/>
      <b val="1"/>
      <color rgb="FF333333"/>
      <sz val="10"/>
    </font>
    <font>
      <name val="Arial"/>
      <charset val="1"/>
      <family val="0"/>
      <b val="1"/>
      <color rgb="FF1A3C5E"/>
      <sz val="13"/>
    </font>
    <font>
      <name val="Arial"/>
      <charset val="1"/>
      <family val="0"/>
      <i val="1"/>
      <color rgb="FF2E6DA4"/>
      <sz val="10"/>
    </font>
    <font>
      <name val="Arial"/>
      <charset val="1"/>
      <family val="0"/>
      <b val="1"/>
      <color rgb="FF1A3C5E"/>
      <sz val="18"/>
    </font>
    <font>
      <name val="Arial"/>
      <charset val="1"/>
      <family val="0"/>
      <b val="1"/>
      <color rgb="FF1B5E20"/>
      <sz val="18"/>
    </font>
    <font>
      <name val="Arial"/>
      <charset val="1"/>
      <family val="0"/>
      <color rgb="FF444444"/>
      <sz val="10"/>
    </font>
    <font>
      <name val="Arial"/>
      <charset val="1"/>
      <family val="0"/>
      <color rgb="FF555555"/>
      <sz val="10"/>
    </font>
    <font>
      <name val="Arial"/>
      <charset val="1"/>
      <family val="0"/>
      <i val="1"/>
      <color rgb="FF555555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1B5E20"/>
      <sz val="16"/>
    </font>
    <font>
      <name val="Arial"/>
      <charset val="1"/>
      <family val="0"/>
      <i val="1"/>
      <color rgb="FFAAAAAA"/>
      <sz val="8"/>
    </font>
  </fonts>
  <fills count="11">
    <fill>
      <patternFill/>
    </fill>
    <fill>
      <patternFill patternType="gray125"/>
    </fill>
    <fill>
      <patternFill patternType="solid">
        <fgColor rgb="FFEAF2FA"/>
        <bgColor rgb="FFE8F5E9"/>
      </patternFill>
    </fill>
    <fill>
      <patternFill patternType="solid">
        <fgColor rgb="FFFFFDE7"/>
        <bgColor rgb="FFFFFFFF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FFDE7"/>
      </patternFill>
    </fill>
    <fill>
      <patternFill patternType="solid">
        <fgColor rgb="FF1A3C5E"/>
        <bgColor rgb="FF333333"/>
      </patternFill>
    </fill>
    <fill>
      <patternFill patternType="solid">
        <fgColor rgb="FFE8F5E9"/>
        <bgColor rgb="FFF1F8F1"/>
      </patternFill>
    </fill>
    <fill>
      <patternFill patternType="solid">
        <fgColor rgb="FFF1F8F1"/>
        <bgColor rgb="FFF5F5F5"/>
      </patternFill>
    </fill>
    <fill>
      <patternFill patternType="solid">
        <fgColor rgb="FFC5DCF0"/>
        <bgColor rgb="FFCCCCCC"/>
      </patternFill>
    </fill>
    <fill>
      <patternFill patternType="solid">
        <fgColor rgb="FFF5F5F5"/>
        <bgColor rgb="FFF1F8F1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A3C5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9" fillId="2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11" fillId="3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13" fillId="4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general" vertical="bottom"/>
    </xf>
    <xf numFmtId="164" fontId="11" fillId="3" borderId="2" applyAlignment="1" pivotButton="0" quotePrefix="0" xfId="0">
      <alignment horizontal="center" vertical="center"/>
    </xf>
    <xf numFmtId="2" fontId="11" fillId="3" borderId="2" applyAlignment="1" pivotButton="0" quotePrefix="0" xfId="0">
      <alignment horizontal="center" vertical="center"/>
    </xf>
    <xf numFmtId="164" fontId="14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general" vertical="bottom"/>
    </xf>
    <xf numFmtId="0" fontId="9" fillId="2" borderId="2" applyAlignment="1" pivotButton="0" quotePrefix="0" xfId="0">
      <alignment horizontal="general" vertical="bottom"/>
    </xf>
    <xf numFmtId="0" fontId="9" fillId="5" borderId="2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3" fillId="6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general" vertical="bottom"/>
    </xf>
    <xf numFmtId="3" fontId="11" fillId="3" borderId="2" applyAlignment="1" pivotButton="0" quotePrefix="0" xfId="0">
      <alignment horizontal="center" vertical="center"/>
    </xf>
    <xf numFmtId="3" fontId="14" fillId="5" borderId="2" applyAlignment="1" pivotButton="0" quotePrefix="0" xfId="0">
      <alignment horizontal="center" vertical="center"/>
    </xf>
    <xf numFmtId="2" fontId="14" fillId="5" borderId="2" applyAlignment="1" pivotButton="0" quotePrefix="0" xfId="0">
      <alignment horizontal="center" vertical="center"/>
    </xf>
    <xf numFmtId="164" fontId="17" fillId="7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8" fillId="6" borderId="0" applyAlignment="1" pivotButton="0" quotePrefix="0" xfId="0">
      <alignment horizontal="general" vertical="bottom"/>
    </xf>
    <xf numFmtId="164" fontId="18" fillId="6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3" fontId="14" fillId="2" borderId="2" applyAlignment="1" pivotButton="0" quotePrefix="0" xfId="0">
      <alignment horizontal="center" vertical="center"/>
    </xf>
    <xf numFmtId="164" fontId="17" fillId="2" borderId="2" applyAlignment="1" pivotButton="0" quotePrefix="0" xfId="0">
      <alignment horizontal="center" vertical="center"/>
    </xf>
    <xf numFmtId="10" fontId="9" fillId="2" borderId="2" applyAlignment="1" pivotButton="0" quotePrefix="0" xfId="0">
      <alignment horizontal="center" vertical="center"/>
    </xf>
    <xf numFmtId="164" fontId="17" fillId="5" borderId="2" applyAlignment="1" pivotButton="0" quotePrefix="0" xfId="0">
      <alignment horizontal="center" vertical="center"/>
    </xf>
    <xf numFmtId="10" fontId="9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general" vertical="bottom"/>
    </xf>
    <xf numFmtId="3" fontId="18" fillId="6" borderId="2" applyAlignment="1" pivotButton="0" quotePrefix="0" xfId="0">
      <alignment horizontal="center" vertical="center"/>
    </xf>
    <xf numFmtId="10" fontId="18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general" vertical="bottom"/>
    </xf>
    <xf numFmtId="0" fontId="13" fillId="4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2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8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 wrapText="1"/>
    </xf>
    <xf numFmtId="165" fontId="11" fillId="3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general" vertical="bottom"/>
    </xf>
    <xf numFmtId="0" fontId="20" fillId="2" borderId="2" applyAlignment="1" pivotButton="0" quotePrefix="0" xfId="0">
      <alignment horizontal="general" vertical="bottom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8" fillId="6" borderId="2" applyAlignment="1" pivotButton="0" quotePrefix="0" xfId="0">
      <alignment horizontal="center" vertical="center" wrapText="1"/>
    </xf>
    <xf numFmtId="3" fontId="23" fillId="2" borderId="2" applyAlignment="1" pivotButton="0" quotePrefix="0" xfId="0">
      <alignment horizontal="center" vertical="center"/>
    </xf>
    <xf numFmtId="164" fontId="24" fillId="2" borderId="2" applyAlignment="1" pivotButton="0" quotePrefix="0" xfId="0">
      <alignment horizontal="center" vertical="center"/>
    </xf>
    <xf numFmtId="10" fontId="23" fillId="2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left" vertical="center"/>
    </xf>
    <xf numFmtId="3" fontId="25" fillId="2" borderId="2" applyAlignment="1" pivotButton="0" quotePrefix="0" xfId="0">
      <alignment horizontal="center" vertical="center"/>
    </xf>
    <xf numFmtId="164" fontId="25" fillId="2" borderId="2" applyAlignment="1" pivotButton="0" quotePrefix="0" xfId="0">
      <alignment horizontal="center" vertical="center"/>
    </xf>
    <xf numFmtId="2" fontId="25" fillId="2" borderId="2" applyAlignment="1" pivotButton="0" quotePrefix="0" xfId="0">
      <alignment horizontal="center" vertical="center"/>
    </xf>
    <xf numFmtId="165" fontId="26" fillId="2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3" fontId="25" fillId="5" borderId="2" applyAlignment="1" pivotButton="0" quotePrefix="0" xfId="0">
      <alignment horizontal="center" vertical="center"/>
    </xf>
    <xf numFmtId="164" fontId="25" fillId="5" borderId="2" applyAlignment="1" pivotButton="0" quotePrefix="0" xfId="0">
      <alignment horizontal="center" vertical="center"/>
    </xf>
    <xf numFmtId="2" fontId="25" fillId="5" borderId="2" applyAlignment="1" pivotButton="0" quotePrefix="0" xfId="0">
      <alignment horizontal="center" vertical="center"/>
    </xf>
    <xf numFmtId="164" fontId="17" fillId="8" borderId="2" applyAlignment="1" pivotButton="0" quotePrefix="0" xfId="0">
      <alignment horizontal="center" vertical="center"/>
    </xf>
    <xf numFmtId="165" fontId="26" fillId="5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3" fontId="9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general" vertical="bottom"/>
    </xf>
    <xf numFmtId="164" fontId="9" fillId="9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3" fontId="28" fillId="10" borderId="2" applyAlignment="1" pivotButton="0" quotePrefix="0" xfId="0">
      <alignment horizontal="center" vertical="center"/>
    </xf>
    <xf numFmtId="0" fontId="29" fillId="7" borderId="2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9" fillId="2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0" borderId="2" applyAlignment="1" pivotButton="0" quotePrefix="0" xfId="0">
      <alignment horizontal="left" vertical="center"/>
    </xf>
    <xf numFmtId="0" fontId="11" fillId="3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13" fillId="4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general" vertical="bottom"/>
    </xf>
    <xf numFmtId="164" fontId="11" fillId="3" borderId="2" applyAlignment="1" pivotButton="0" quotePrefix="0" xfId="0">
      <alignment horizontal="center" vertical="center"/>
    </xf>
    <xf numFmtId="2" fontId="11" fillId="3" borderId="2" applyAlignment="1" pivotButton="0" quotePrefix="0" xfId="0">
      <alignment horizontal="center" vertical="center"/>
    </xf>
    <xf numFmtId="164" fontId="14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general" vertical="bottom"/>
    </xf>
    <xf numFmtId="0" fontId="9" fillId="2" borderId="2" applyAlignment="1" pivotButton="0" quotePrefix="0" xfId="0">
      <alignment horizontal="general" vertical="bottom"/>
    </xf>
    <xf numFmtId="0" fontId="9" fillId="5" borderId="2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3" fillId="6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general" vertical="bottom"/>
    </xf>
    <xf numFmtId="3" fontId="11" fillId="3" borderId="2" applyAlignment="1" pivotButton="0" quotePrefix="0" xfId="0">
      <alignment horizontal="center" vertical="center"/>
    </xf>
    <xf numFmtId="3" fontId="14" fillId="5" borderId="2" applyAlignment="1" pivotButton="0" quotePrefix="0" xfId="0">
      <alignment horizontal="center" vertical="center"/>
    </xf>
    <xf numFmtId="2" fontId="14" fillId="5" borderId="2" applyAlignment="1" pivotButton="0" quotePrefix="0" xfId="0">
      <alignment horizontal="center" vertical="center"/>
    </xf>
    <xf numFmtId="164" fontId="17" fillId="7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general" vertical="bottom"/>
    </xf>
    <xf numFmtId="0" fontId="11" fillId="3" borderId="2" applyAlignment="1" pivotButton="0" quotePrefix="0" xfId="0">
      <alignment horizontal="center" vertical="center"/>
    </xf>
    <xf numFmtId="3" fontId="11" fillId="3" borderId="2" applyAlignment="1" pivotButton="0" quotePrefix="0" xfId="0">
      <alignment horizontal="center" vertical="center"/>
    </xf>
    <xf numFmtId="3" fontId="14" fillId="5" borderId="2" applyAlignment="1" pivotButton="0" quotePrefix="0" xfId="0">
      <alignment horizontal="center" vertical="center"/>
    </xf>
    <xf numFmtId="164" fontId="14" fillId="5" borderId="2" applyAlignment="1" pivotButton="0" quotePrefix="0" xfId="0">
      <alignment horizontal="center" vertical="center"/>
    </xf>
    <xf numFmtId="2" fontId="14" fillId="5" borderId="2" applyAlignment="1" pivotButton="0" quotePrefix="0" xfId="0">
      <alignment horizontal="center" vertical="center"/>
    </xf>
    <xf numFmtId="164" fontId="17" fillId="7" borderId="2" applyAlignment="1" pivotButton="0" quotePrefix="0" xfId="0">
      <alignment horizontal="center" vertical="center"/>
    </xf>
    <xf numFmtId="0" fontId="18" fillId="6" borderId="0" applyAlignment="1" pivotButton="0" quotePrefix="0" xfId="0">
      <alignment horizontal="general" vertical="bottom"/>
    </xf>
    <xf numFmtId="164" fontId="18" fillId="6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3" fontId="14" fillId="2" borderId="2" applyAlignment="1" pivotButton="0" quotePrefix="0" xfId="0">
      <alignment horizontal="center" vertical="center"/>
    </xf>
    <xf numFmtId="164" fontId="17" fillId="2" borderId="2" applyAlignment="1" pivotButton="0" quotePrefix="0" xfId="0">
      <alignment horizontal="center" vertical="center"/>
    </xf>
    <xf numFmtId="10" fontId="9" fillId="2" borderId="2" applyAlignment="1" pivotButton="0" quotePrefix="0" xfId="0">
      <alignment horizontal="center" vertical="center"/>
    </xf>
    <xf numFmtId="164" fontId="17" fillId="5" borderId="2" applyAlignment="1" pivotButton="0" quotePrefix="0" xfId="0">
      <alignment horizontal="center" vertical="center"/>
    </xf>
    <xf numFmtId="10" fontId="9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general" vertical="bottom"/>
    </xf>
    <xf numFmtId="3" fontId="18" fillId="6" borderId="2" applyAlignment="1" pivotButton="0" quotePrefix="0" xfId="0">
      <alignment horizontal="center" vertical="center"/>
    </xf>
    <xf numFmtId="10" fontId="18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general" vertical="bottom"/>
    </xf>
    <xf numFmtId="0" fontId="13" fillId="4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2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8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 wrapText="1"/>
    </xf>
    <xf numFmtId="165" fontId="11" fillId="3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general" vertical="bottom"/>
    </xf>
    <xf numFmtId="0" fontId="20" fillId="2" borderId="2" applyAlignment="1" pivotButton="0" quotePrefix="0" xfId="0">
      <alignment horizontal="general" vertical="bottom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8" fillId="6" borderId="2" applyAlignment="1" pivotButton="0" quotePrefix="0" xfId="0">
      <alignment horizontal="center" vertical="center" wrapText="1"/>
    </xf>
    <xf numFmtId="3" fontId="23" fillId="2" borderId="2" applyAlignment="1" pivotButton="0" quotePrefix="0" xfId="0">
      <alignment horizontal="center" vertical="center"/>
    </xf>
    <xf numFmtId="164" fontId="24" fillId="2" borderId="2" applyAlignment="1" pivotButton="0" quotePrefix="0" xfId="0">
      <alignment horizontal="center" vertical="center"/>
    </xf>
    <xf numFmtId="10" fontId="23" fillId="2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left" vertical="center"/>
    </xf>
    <xf numFmtId="3" fontId="25" fillId="2" borderId="2" applyAlignment="1" pivotButton="0" quotePrefix="0" xfId="0">
      <alignment horizontal="center" vertical="center"/>
    </xf>
    <xf numFmtId="164" fontId="25" fillId="2" borderId="2" applyAlignment="1" pivotButton="0" quotePrefix="0" xfId="0">
      <alignment horizontal="center" vertical="center"/>
    </xf>
    <xf numFmtId="2" fontId="25" fillId="2" borderId="2" applyAlignment="1" pivotButton="0" quotePrefix="0" xfId="0">
      <alignment horizontal="center" vertical="center"/>
    </xf>
    <xf numFmtId="165" fontId="26" fillId="2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3" fontId="25" fillId="5" borderId="2" applyAlignment="1" pivotButton="0" quotePrefix="0" xfId="0">
      <alignment horizontal="center" vertical="center"/>
    </xf>
    <xf numFmtId="164" fontId="25" fillId="5" borderId="2" applyAlignment="1" pivotButton="0" quotePrefix="0" xfId="0">
      <alignment horizontal="center" vertical="center"/>
    </xf>
    <xf numFmtId="2" fontId="25" fillId="5" borderId="2" applyAlignment="1" pivotButton="0" quotePrefix="0" xfId="0">
      <alignment horizontal="center" vertical="center"/>
    </xf>
    <xf numFmtId="164" fontId="17" fillId="8" borderId="2" applyAlignment="1" pivotButton="0" quotePrefix="0" xfId="0">
      <alignment horizontal="center" vertical="center"/>
    </xf>
    <xf numFmtId="165" fontId="26" fillId="5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3" fontId="9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general" vertical="bottom"/>
    </xf>
    <xf numFmtId="164" fontId="9" fillId="9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3" fontId="28" fillId="10" borderId="2" applyAlignment="1" pivotButton="0" quotePrefix="0" xfId="0">
      <alignment horizontal="center" vertical="center"/>
    </xf>
    <xf numFmtId="0" fontId="29" fillId="7" borderId="2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88888"/>
      <rgbColor rgb="FFAAAAAA"/>
      <rgbColor rgb="FF993366"/>
      <rgbColor rgb="FFFFFDE7"/>
      <rgbColor rgb="FFE8F5E9"/>
      <rgbColor rgb="FF660066"/>
      <rgbColor rgb="FFFF8080"/>
      <rgbColor rgb="FF2E6DA4"/>
      <rgbColor rgb="FFC5D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A"/>
      <rgbColor rgb="FFF1F8F1"/>
      <rgbColor rgb="FFF5F5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A3C5E"/>
      <rgbColor rgb="FF339966"/>
      <rgbColor rgb="FF003300"/>
      <rgbColor rgb="FF444444"/>
      <rgbColor rgb="FF993300"/>
      <rgbColor rgb="FF993366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86" min="1" max="1"/>
    <col width="28" customWidth="1" style="86" min="2" max="2"/>
    <col width="60" customWidth="1" style="86" min="3" max="3"/>
  </cols>
  <sheetData>
    <row r="2" ht="30" customHeight="1" s="87">
      <c r="B2" s="88" t="inlineStr">
        <is>
          <t>SAMÄGANDE FILMPRODUKTION</t>
        </is>
      </c>
    </row>
    <row r="3" ht="21.75" customHeight="1" s="87">
      <c r="B3" s="89" t="inlineStr">
        <is>
          <t>Tillägg till SFI:s budgetmall — Equity &amp; Poängregister v1.0</t>
        </is>
      </c>
    </row>
    <row r="4" ht="15" customHeight="1" s="87">
      <c r="B4" s="90" t="n"/>
      <c r="C4" s="90" t="n"/>
    </row>
    <row r="5" ht="7.5" customHeight="1" s="87"/>
    <row r="6" ht="15" customHeight="1" s="87">
      <c r="B6" s="91" t="inlineStr">
        <is>
          <t>OM DETTA VERKTYG</t>
        </is>
      </c>
    </row>
    <row r="7" ht="18" customHeight="1" s="87">
      <c r="B7" s="92" t="n"/>
      <c r="C7" s="93" t="inlineStr">
        <is>
          <t>Detta kalkylblad är ett tillägg till SFI:s standardmall för filmbudget. Det lägger ett poäng- och equity-lager ovanpå den befintliga egeninsats-strukturen utan att ändra budgetens format eller SFI-kompatibilitet.</t>
        </is>
      </c>
    </row>
    <row r="8" ht="18" customHeight="1" s="87">
      <c r="B8" s="92" t="n"/>
      <c r="C8" s="93" t="n"/>
    </row>
    <row r="9" ht="18" customHeight="1" s="87">
      <c r="B9" s="94" t="inlineStr">
        <is>
          <t>FLIKAR</t>
        </is>
      </c>
    </row>
    <row r="10" ht="18" customHeight="1" s="87">
      <c r="B10" s="95" t="inlineStr">
        <is>
          <t>① Instruktioner</t>
        </is>
      </c>
      <c r="C10" s="93" t="inlineStr">
        <is>
          <t>Den här sidan. Läs igenom en gång.</t>
        </is>
      </c>
    </row>
    <row r="11" ht="18" customHeight="1" s="87">
      <c r="B11" s="95" t="inlineStr">
        <is>
          <t>② Projektinställningar</t>
        </is>
      </c>
      <c r="C11" s="93" t="inlineStr">
        <is>
          <t>Projektnamn, bolag, fasindelning och poängtabell. Fyll i dessa först.</t>
        </is>
      </c>
    </row>
    <row r="12" ht="18" customHeight="1" s="87">
      <c r="B12" s="95" t="inlineStr">
        <is>
          <t>③ Egeninsats &amp; Poäng</t>
        </is>
      </c>
      <c r="C12" s="93" t="inlineStr">
        <is>
          <t>Huvudregistret. En rad per person per fas. Kopplar till SFI-mallens egeninsats-flik.</t>
        </is>
      </c>
    </row>
    <row r="13" ht="18" customHeight="1" s="87">
      <c r="B13" s="95" t="inlineStr">
        <is>
          <t>④ Equity Dashboard</t>
        </is>
      </c>
      <c r="C13" s="93" t="inlineStr">
        <is>
          <t>Automatisk sammanställning. Visar ägarandelar, waterfall och per-person-utdrag.</t>
        </is>
      </c>
    </row>
    <row r="14" ht="18" customHeight="1" s="87">
      <c r="B14" s="95" t="inlineStr">
        <is>
          <t>⑤ Fasbudget</t>
        </is>
      </c>
      <c r="C14" s="93" t="inlineStr">
        <is>
          <t>Helhetsbudget uppdelad per produktionsfas. Knyter an till SFI-posternas struktur.</t>
        </is>
      </c>
    </row>
    <row r="15" ht="18" customHeight="1" s="87">
      <c r="B15" s="96" t="inlineStr">
        <is>
          <t>⑦ Personutdrag</t>
        </is>
      </c>
      <c r="C15" s="93" t="inlineStr">
        <is>
          <t>Utskrivbart utdrag per person. Visar poänghistorik, ägarandel och waterfall-andel i tre scenarier. En sida per person.</t>
        </is>
      </c>
    </row>
    <row r="16" ht="18" customHeight="1" s="87">
      <c r="B16" s="92" t="n"/>
      <c r="C16" s="93" t="n"/>
    </row>
    <row r="17" ht="18" customHeight="1" s="87">
      <c r="B17" s="94" t="inlineStr">
        <is>
          <t>INMATNINGSPRINCIP</t>
        </is>
      </c>
    </row>
    <row r="18" ht="18" customHeight="1" s="87">
      <c r="B18" s="95" t="inlineStr">
        <is>
          <t>Blå text</t>
        </is>
      </c>
      <c r="C18" s="93" t="inlineStr">
        <is>
          <t>Inmatningsceller — fyll i dessa manuellt.</t>
        </is>
      </c>
    </row>
    <row r="19" ht="18" customHeight="1" s="87">
      <c r="B19" s="95" t="inlineStr">
        <is>
          <t>Svart text</t>
        </is>
      </c>
      <c r="C19" s="93" t="inlineStr">
        <is>
          <t>Formelceller — rör dem inte.</t>
        </is>
      </c>
    </row>
    <row r="20" ht="18" customHeight="1" s="87">
      <c r="B20" s="95" t="inlineStr">
        <is>
          <t>Gul bakgrund</t>
        </is>
      </c>
      <c r="C20" s="93" t="inlineStr">
        <is>
          <t>Viktig inmatning som måste fyllas i.</t>
        </is>
      </c>
    </row>
    <row r="21" ht="18" customHeight="1" s="87">
      <c r="B21" s="92" t="n"/>
      <c r="C21" s="93" t="n"/>
    </row>
    <row r="22" ht="18" customHeight="1" s="87">
      <c r="B22" s="94" t="inlineStr">
        <is>
          <t>ARBETSFLÖDE</t>
        </is>
      </c>
    </row>
    <row r="23" ht="18" customHeight="1" s="87">
      <c r="B23" s="95" t="inlineStr">
        <is>
          <t>Steg 1</t>
        </is>
      </c>
      <c r="C23" s="93" t="inlineStr">
        <is>
          <t>Fyll i Projektinställningar (namn, faser, poängtabell).</t>
        </is>
      </c>
    </row>
    <row r="24" ht="18" customHeight="1" s="87">
      <c r="B24" s="95" t="inlineStr">
        <is>
          <t>Steg 2</t>
        </is>
      </c>
      <c r="C24" s="93" t="inlineStr">
        <is>
          <t>Fyll i Egeninsats &amp; Poäng — en rad per person per fas.</t>
        </is>
      </c>
    </row>
    <row r="25" ht="18" customHeight="1" s="87">
      <c r="B25" s="95" t="inlineStr">
        <is>
          <t>Steg 3</t>
        </is>
      </c>
      <c r="C25" s="93" t="inlineStr">
        <is>
          <t>Kontrollera Equity Dashboard att summorna stämmer.</t>
        </is>
      </c>
    </row>
    <row r="26" ht="18" customHeight="1" s="87">
      <c r="B26" s="95" t="inlineStr">
        <is>
          <t>Steg 4</t>
        </is>
      </c>
      <c r="C26" s="93" t="inlineStr">
        <is>
          <t>Använd Fasbudget för att fördela budget per produktionsfas.</t>
        </is>
      </c>
    </row>
    <row r="27" ht="18" customHeight="1" s="87">
      <c r="B27" s="95" t="inlineStr">
        <is>
          <t>Steg 5</t>
        </is>
      </c>
      <c r="C27" s="93" t="inlineStr">
        <is>
          <t>Kör Waterfall Simulering vid finansiärsmöten eller Lock-tidpunkter.</t>
        </is>
      </c>
    </row>
    <row r="28" ht="18" customHeight="1" s="87">
      <c r="B28" s="92" t="n"/>
      <c r="C28" s="93" t="n"/>
    </row>
    <row r="29" ht="18" customHeight="1" s="87">
      <c r="B29" s="94" t="inlineStr">
        <is>
          <t>LOCK-PUNKTER</t>
        </is>
      </c>
    </row>
    <row r="30" ht="18" customHeight="1" s="87">
      <c r="B30" s="95" t="inlineStr">
        <is>
          <t>Lock 1 — Green Light</t>
        </is>
      </c>
      <c r="C30" s="93" t="inlineStr">
        <is>
          <t>Fastställ poäng för F1 (Development) och F2 (Pre-production). Markera datum i Projektinställningar.</t>
        </is>
      </c>
    </row>
    <row r="31" ht="18" customHeight="1" s="87">
      <c r="B31" s="95" t="inlineStr">
        <is>
          <t>Lock 2 — Wrap</t>
        </is>
      </c>
      <c r="C31" s="93" t="inlineStr">
        <is>
          <t>Fastställ poäng för F3 (Production). Uppdatera om ny finansiär tillkommit.</t>
        </is>
      </c>
    </row>
    <row r="32" ht="18" customHeight="1" s="87">
      <c r="B32" s="95" t="inlineStr">
        <is>
          <t>Lock 3 — Leverans</t>
        </is>
      </c>
      <c r="C32" s="93" t="inlineStr">
        <is>
          <t>Fastställ poäng för F4 (Post) och F5 (Promotion). Slutgiltigt register.</t>
        </is>
      </c>
    </row>
  </sheetData>
  <mergeCells count="7">
    <mergeCell ref="B6:C6"/>
    <mergeCell ref="B2:C2"/>
    <mergeCell ref="B29:C29"/>
    <mergeCell ref="B3:C3"/>
    <mergeCell ref="B22:C22"/>
    <mergeCell ref="B17:C17"/>
    <mergeCell ref="B9:C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H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86" min="1" max="1"/>
    <col width="30" customWidth="1" style="86" min="2" max="2"/>
    <col width="22" customWidth="1" style="86" min="3" max="4"/>
    <col width="16" customWidth="1" style="86" min="5" max="7"/>
    <col width="22" customWidth="1" style="86" min="8" max="8"/>
  </cols>
  <sheetData>
    <row r="2" ht="27.75" customHeight="1" s="87">
      <c r="B2" s="97" t="inlineStr">
        <is>
          <t>PROJEKTINSTÄLLNINGAR</t>
        </is>
      </c>
    </row>
    <row r="4" ht="19.5" customHeight="1" s="87">
      <c r="B4" s="98" t="inlineStr">
        <is>
          <t>PROJEKTINFORMATION</t>
        </is>
      </c>
      <c r="C4" s="99" t="n"/>
      <c r="D4" s="99" t="n"/>
      <c r="E4" s="99" t="n"/>
      <c r="F4" s="99" t="n"/>
      <c r="G4" s="99" t="n"/>
      <c r="H4" s="100" t="n"/>
    </row>
    <row r="5" ht="19.5" customHeight="1" s="87">
      <c r="B5" s="101" t="inlineStr">
        <is>
          <t>Projektnamn</t>
        </is>
      </c>
      <c r="C5" s="126" t="n"/>
      <c r="D5" s="103" t="inlineStr">
        <is>
          <t>Filmtiteln</t>
        </is>
      </c>
    </row>
    <row r="6" ht="19.5" customHeight="1" s="87">
      <c r="B6" s="101" t="inlineStr">
        <is>
          <t>Produktionsbolag</t>
        </is>
      </c>
      <c r="C6" s="126" t="n"/>
      <c r="D6" s="103" t="inlineStr">
        <is>
          <t>AB / HB / Kooperativ</t>
        </is>
      </c>
    </row>
    <row r="7" ht="19.5" customHeight="1" s="87">
      <c r="B7" s="101" t="inlineStr">
        <is>
          <t>Projektledare / Producent</t>
        </is>
      </c>
      <c r="C7" s="126" t="n"/>
      <c r="D7" s="103" t="inlineStr">
        <is>
          <t>Namn</t>
        </is>
      </c>
    </row>
    <row r="8" ht="19.5" customHeight="1" s="87">
      <c r="B8" s="101" t="inlineStr">
        <is>
          <t>Startdatum Development</t>
        </is>
      </c>
      <c r="C8" s="126" t="n"/>
      <c r="D8" s="103" t="inlineStr">
        <is>
          <t>ÅÅÅÅ-MM-DD</t>
        </is>
      </c>
    </row>
    <row r="9" ht="19.5" customHeight="1" s="87">
      <c r="B9" s="101" t="inlineStr">
        <is>
          <t>Beräknad inspelningsstart</t>
        </is>
      </c>
      <c r="C9" s="126" t="n"/>
      <c r="D9" s="103" t="inlineStr">
        <is>
          <t>ÅÅÅÅ-MM-DD</t>
        </is>
      </c>
    </row>
    <row r="10" ht="19.5" customHeight="1" s="87">
      <c r="B10" s="101" t="inlineStr">
        <is>
          <t>Beräknad leverans</t>
        </is>
      </c>
      <c r="C10" s="126" t="n"/>
      <c r="D10" s="103" t="inlineStr">
        <is>
          <t>ÅÅÅÅ-MM-DD</t>
        </is>
      </c>
    </row>
    <row r="11" ht="19.5" customHeight="1" s="87">
      <c r="B11" s="101" t="inlineStr">
        <is>
          <t>Total budget (inkl deferred)</t>
        </is>
      </c>
      <c r="C11" s="126" t="n"/>
      <c r="D11" s="103" t="inlineStr">
        <is>
          <t>SEK</t>
        </is>
      </c>
    </row>
    <row r="12" ht="19.5" customHeight="1" s="87">
      <c r="B12" s="101" t="inlineStr">
        <is>
          <t>Varav kontant budget</t>
        </is>
      </c>
      <c r="C12" s="126" t="n"/>
      <c r="D12" s="103" t="inlineStr">
        <is>
          <t>SEK</t>
        </is>
      </c>
    </row>
    <row r="13" ht="19.5" customHeight="1" s="87">
      <c r="B13" s="101" t="inlineStr">
        <is>
          <t>Varav egeninsats / deferred</t>
        </is>
      </c>
      <c r="C13" s="126" t="n"/>
      <c r="D13" s="103" t="inlineStr">
        <is>
          <t>SEK</t>
        </is>
      </c>
    </row>
    <row r="15" ht="9.75" customHeight="1" s="87"/>
    <row r="16" ht="19.5" customHeight="1" s="87">
      <c r="B16" s="98" t="inlineStr">
        <is>
          <t>LOCK-PUNKTER</t>
        </is>
      </c>
      <c r="C16" s="99" t="n"/>
      <c r="D16" s="99" t="n"/>
      <c r="E16" s="99" t="n"/>
      <c r="F16" s="99" t="n"/>
      <c r="G16" s="99" t="n"/>
      <c r="H16" s="100" t="n"/>
    </row>
    <row r="17" ht="19.5" customHeight="1" s="87">
      <c r="B17" s="104" t="inlineStr">
        <is>
          <t>Lock 1 — Green Light</t>
        </is>
      </c>
      <c r="C17" s="126" t="n"/>
      <c r="D17" s="126" t="n"/>
    </row>
    <row r="18" ht="19.5" customHeight="1" s="87">
      <c r="B18" s="104" t="inlineStr">
        <is>
          <t>Lock 2 — Wrap</t>
        </is>
      </c>
      <c r="C18" s="126" t="n"/>
      <c r="D18" s="126" t="n"/>
    </row>
    <row r="19" ht="19.5" customHeight="1" s="87">
      <c r="B19" s="104" t="inlineStr">
        <is>
          <t>Lock 3 — Leverans</t>
        </is>
      </c>
      <c r="C19" s="126" t="n"/>
      <c r="D19" s="126" t="n"/>
    </row>
    <row r="21" ht="9.75" customHeight="1" s="87"/>
    <row r="22" ht="19.5" customHeight="1" s="87">
      <c r="B22" s="98" t="inlineStr">
        <is>
          <t>FASINDELNING &amp; POÄNGTABELL</t>
        </is>
      </c>
      <c r="C22" s="99" t="n"/>
      <c r="D22" s="99" t="n"/>
      <c r="E22" s="99" t="n"/>
      <c r="F22" s="99" t="n"/>
      <c r="G22" s="99" t="n"/>
      <c r="H22" s="100" t="n"/>
    </row>
    <row r="23" ht="15" customHeight="1" s="87">
      <c r="B23" s="105" t="inlineStr">
        <is>
          <t>Fas</t>
        </is>
      </c>
      <c r="C23" s="105" t="inlineStr">
        <is>
          <t>Benämning</t>
        </is>
      </c>
      <c r="D23" s="105" t="inlineStr">
        <is>
          <t>Aktiveras</t>
        </is>
      </c>
      <c r="E23" s="105" t="inlineStr">
        <is>
          <t>Grundpoäng/dag</t>
        </is>
      </c>
      <c r="F23" s="105" t="inlineStr">
        <is>
          <t>Riskpremie</t>
        </is>
      </c>
      <c r="G23" s="105" t="inlineStr">
        <is>
          <t>Poäng×premie</t>
        </is>
      </c>
      <c r="H23" s="105" t="inlineStr">
        <is>
          <t>Kommentar</t>
        </is>
      </c>
    </row>
    <row r="24" ht="19.5" customHeight="1" s="87">
      <c r="B24" s="106" t="inlineStr">
        <is>
          <t>F1</t>
        </is>
      </c>
      <c r="C24" s="107" t="inlineStr">
        <is>
          <t>Development</t>
        </is>
      </c>
      <c r="D24" s="126" t="inlineStr">
        <is>
          <t>JA</t>
        </is>
      </c>
      <c r="E24" s="108" t="n">
        <v>15</v>
      </c>
      <c r="F24" s="109" t="n">
        <v>1.5</v>
      </c>
      <c r="G24" s="129">
        <f>E24*F24</f>
        <v/>
      </c>
      <c r="H24" s="126" t="n"/>
    </row>
    <row r="25" ht="19.5" customHeight="1" s="87">
      <c r="B25" s="111" t="inlineStr">
        <is>
          <t>F2</t>
        </is>
      </c>
      <c r="C25" s="112" t="inlineStr">
        <is>
          <t>Pre-production</t>
        </is>
      </c>
      <c r="D25" s="126" t="inlineStr">
        <is>
          <t>JA</t>
        </is>
      </c>
      <c r="E25" s="108" t="n">
        <v>12</v>
      </c>
      <c r="F25" s="109" t="n">
        <v>1.25</v>
      </c>
      <c r="G25" s="129">
        <f>E25*F25</f>
        <v/>
      </c>
      <c r="H25" s="126" t="n"/>
    </row>
    <row r="26" ht="19.5" customHeight="1" s="87">
      <c r="B26" s="106" t="inlineStr">
        <is>
          <t>F3</t>
        </is>
      </c>
      <c r="C26" s="107" t="inlineStr">
        <is>
          <t>Pilot / Testinsp.</t>
        </is>
      </c>
      <c r="D26" s="126" t="inlineStr">
        <is>
          <t>NEJ</t>
        </is>
      </c>
      <c r="E26" s="108" t="n">
        <v>12</v>
      </c>
      <c r="F26" s="109" t="n">
        <v>1.25</v>
      </c>
      <c r="G26" s="129">
        <f>E26*F26</f>
        <v/>
      </c>
      <c r="H26" s="126" t="n"/>
    </row>
    <row r="27" ht="19.5" customHeight="1" s="87">
      <c r="B27" s="111" t="inlineStr">
        <is>
          <t>F4</t>
        </is>
      </c>
      <c r="C27" s="112" t="inlineStr">
        <is>
          <t>Production Fas 1</t>
        </is>
      </c>
      <c r="D27" s="126" t="inlineStr">
        <is>
          <t>JA</t>
        </is>
      </c>
      <c r="E27" s="108" t="n">
        <v>10</v>
      </c>
      <c r="F27" s="109" t="n">
        <v>1</v>
      </c>
      <c r="G27" s="129">
        <f>E27*F27</f>
        <v/>
      </c>
      <c r="H27" s="126" t="n"/>
    </row>
    <row r="28" ht="19.5" customHeight="1" s="87">
      <c r="B28" s="106" t="inlineStr">
        <is>
          <t>F5</t>
        </is>
      </c>
      <c r="C28" s="107" t="inlineStr">
        <is>
          <t>Production Fas 2</t>
        </is>
      </c>
      <c r="D28" s="126" t="inlineStr">
        <is>
          <t>NEJ</t>
        </is>
      </c>
      <c r="E28" s="108" t="n">
        <v>10</v>
      </c>
      <c r="F28" s="109" t="n">
        <v>1</v>
      </c>
      <c r="G28" s="129">
        <f>E28*F28</f>
        <v/>
      </c>
      <c r="H28" s="126" t="n"/>
    </row>
    <row r="29" ht="19.5" customHeight="1" s="87">
      <c r="B29" s="111" t="inlineStr">
        <is>
          <t>F6</t>
        </is>
      </c>
      <c r="C29" s="112" t="inlineStr">
        <is>
          <t>Post-production</t>
        </is>
      </c>
      <c r="D29" s="126" t="inlineStr">
        <is>
          <t>JA</t>
        </is>
      </c>
      <c r="E29" s="108" t="n">
        <v>10</v>
      </c>
      <c r="F29" s="109" t="n">
        <v>1</v>
      </c>
      <c r="G29" s="129">
        <f>E29*F29</f>
        <v/>
      </c>
      <c r="H29" s="126" t="n"/>
    </row>
    <row r="30" ht="19.5" customHeight="1" s="87">
      <c r="B30" s="106" t="inlineStr">
        <is>
          <t>F7</t>
        </is>
      </c>
      <c r="C30" s="107" t="inlineStr">
        <is>
          <t>Promotion / Lansering</t>
        </is>
      </c>
      <c r="D30" s="126" t="inlineStr">
        <is>
          <t>JA</t>
        </is>
      </c>
      <c r="E30" s="108" t="n">
        <v>8</v>
      </c>
      <c r="F30" s="109" t="n">
        <v>1</v>
      </c>
      <c r="G30" s="129">
        <f>E30*F30</f>
        <v/>
      </c>
      <c r="H30" s="126" t="n"/>
    </row>
    <row r="31" ht="19.5" customHeight="1" s="87">
      <c r="B31" s="111" t="inlineStr">
        <is>
          <t>F8</t>
        </is>
      </c>
      <c r="C31" s="112" t="inlineStr">
        <is>
          <t>Övrigt</t>
        </is>
      </c>
      <c r="D31" s="126" t="inlineStr">
        <is>
          <t>NEJ</t>
        </is>
      </c>
      <c r="E31" s="108" t="n">
        <v>8</v>
      </c>
      <c r="F31" s="109" t="n">
        <v>1</v>
      </c>
      <c r="G31" s="129">
        <f>E31*F31</f>
        <v/>
      </c>
      <c r="H31" s="126" t="n"/>
    </row>
    <row r="33" ht="9.75" customHeight="1" s="87"/>
    <row r="34" ht="19.5" customHeight="1" s="87">
      <c r="B34" s="98" t="inlineStr">
        <is>
          <t>FUNKTIONSKLASS-MULTIPLIKATORER</t>
        </is>
      </c>
      <c r="C34" s="99" t="n"/>
      <c r="D34" s="99" t="n"/>
      <c r="E34" s="99" t="n"/>
      <c r="F34" s="99" t="n"/>
      <c r="G34" s="99" t="n"/>
      <c r="H34" s="100" t="n"/>
    </row>
    <row r="35" ht="15" customHeight="1" s="87">
      <c r="B35" s="105" t="inlineStr">
        <is>
          <t>Klass</t>
        </is>
      </c>
      <c r="C35" s="105" t="inlineStr">
        <is>
          <t>Beskrivning</t>
        </is>
      </c>
      <c r="D35" s="105" t="inlineStr">
        <is>
          <t>Multiplikator</t>
        </is>
      </c>
      <c r="E35" s="105" t="inlineStr">
        <is>
          <t>Exempel</t>
        </is>
      </c>
    </row>
    <row r="36" ht="19.5" customHeight="1" s="87">
      <c r="B36" s="113" t="inlineStr">
        <is>
          <t>A</t>
        </is>
      </c>
      <c r="C36" s="107" t="inlineStr">
        <is>
          <t>Nyckelkreativ / Avdelningsansvarig, unik</t>
        </is>
      </c>
      <c r="D36" s="109" t="n">
        <v>1.5</v>
      </c>
      <c r="E36" s="107" t="inlineStr">
        <is>
          <t>Regissör, DOP, Scenograf, Klippare, Producent (lead), Skådespelare i huvudroll</t>
        </is>
      </c>
    </row>
    <row r="37" ht="19.5" customHeight="1" s="87">
      <c r="B37" s="114" t="inlineStr">
        <is>
          <t>B</t>
        </is>
      </c>
      <c r="C37" s="112" t="inlineStr">
        <is>
          <t>Ledande funktion / avdelningschef</t>
        </is>
      </c>
      <c r="D37" s="109" t="n">
        <v>1.2</v>
      </c>
      <c r="E37" s="112" t="inlineStr">
        <is>
          <t>1:e AD, Kostymör, Ljudmästare, Colorist, Manusförfattare, Skådespelare i återkommande biroll</t>
        </is>
      </c>
    </row>
    <row r="38" ht="19.5" customHeight="1" s="87">
      <c r="B38" s="113" t="inlineStr">
        <is>
          <t>C</t>
        </is>
      </c>
      <c r="C38" s="107" t="inlineStr">
        <is>
          <t>Operativt bidrag / stödfunktion</t>
        </is>
      </c>
      <c r="D38" s="109" t="n">
        <v>1</v>
      </c>
      <c r="E38" s="107" t="inlineStr">
        <is>
          <t>PA, Grip, Gaffer, Rekvisitör, övrig crew, Statist / enstaka replikroll</t>
        </is>
      </c>
    </row>
  </sheetData>
  <mergeCells count="5">
    <mergeCell ref="B22:H22"/>
    <mergeCell ref="B4:H4"/>
    <mergeCell ref="B16:H16"/>
    <mergeCell ref="B2:H2"/>
    <mergeCell ref="B34:H34"/>
  </mergeCells>
  <dataValidations count="8">
    <dataValidation sqref="D24" showDropDown="0" showInputMessage="0" showErrorMessage="0" allowBlank="0" type="list" errorStyle="stop" operator="between">
      <formula1>"JA,NEJ"</formula1>
      <formula2>0</formula2>
    </dataValidation>
    <dataValidation sqref="D25" showDropDown="0" showInputMessage="0" showErrorMessage="0" allowBlank="0" type="list" errorStyle="stop" operator="between">
      <formula1>"JA,NEJ"</formula1>
      <formula2>0</formula2>
    </dataValidation>
    <dataValidation sqref="D26" showDropDown="0" showInputMessage="0" showErrorMessage="0" allowBlank="0" type="list" errorStyle="stop" operator="between">
      <formula1>"JA,NEJ"</formula1>
      <formula2>0</formula2>
    </dataValidation>
    <dataValidation sqref="D27" showDropDown="0" showInputMessage="0" showErrorMessage="0" allowBlank="0" type="list" errorStyle="stop" operator="between">
      <formula1>"JA,NEJ"</formula1>
      <formula2>0</formula2>
    </dataValidation>
    <dataValidation sqref="D28" showDropDown="0" showInputMessage="0" showErrorMessage="0" allowBlank="0" type="list" errorStyle="stop" operator="between">
      <formula1>"JA,NEJ"</formula1>
      <formula2>0</formula2>
    </dataValidation>
    <dataValidation sqref="D29" showDropDown="0" showInputMessage="0" showErrorMessage="0" allowBlank="0" type="list" errorStyle="stop" operator="between">
      <formula1>"JA,NEJ"</formula1>
      <formula2>0</formula2>
    </dataValidation>
    <dataValidation sqref="D30" showDropDown="0" showInputMessage="0" showErrorMessage="0" allowBlank="0" type="list" errorStyle="stop" operator="between">
      <formula1>"JA,NEJ"</formula1>
      <formula2>0</formula2>
    </dataValidation>
    <dataValidation sqref="D31" showDropDown="0" showInputMessage="0" showErrorMessage="0" allowBlank="0" type="list" errorStyle="stop" operator="between">
      <formula1>"JA,NEJ"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N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" customWidth="1" style="86" min="1" max="1"/>
    <col width="5" customWidth="1" style="86" min="2" max="2"/>
    <col width="22" customWidth="1" style="86" min="3" max="3"/>
    <col width="20" customWidth="1" style="86" min="4" max="4"/>
    <col width="8" customWidth="1" style="86" min="5" max="6"/>
    <col width="12" customWidth="1" style="86" min="7" max="10"/>
    <col width="14" customWidth="1" style="86" min="11" max="14"/>
  </cols>
  <sheetData>
    <row r="2" ht="27.75" customHeight="1" s="87">
      <c r="B2" s="97" t="inlineStr">
        <is>
          <t>EGENINSATS &amp; POÄNGREGISTER</t>
        </is>
      </c>
    </row>
    <row r="3" ht="15" customHeight="1" s="87">
      <c r="B3" s="115" t="inlineStr">
        <is>
          <t>Kopplar till SFI-mallens Egeninsats-flik  ·  Blå text = fyll i manuellt  ·  Svart text = formel</t>
        </is>
      </c>
    </row>
    <row r="4" ht="36" customHeight="1" s="87">
      <c r="B4" s="116" t="inlineStr">
        <is>
          <t>#</t>
        </is>
      </c>
      <c r="C4" s="116" t="inlineStr">
        <is>
          <t>Namn</t>
        </is>
      </c>
      <c r="D4" s="116" t="inlineStr">
        <is>
          <t>Roll / Befattning</t>
        </is>
      </c>
      <c r="E4" s="116" t="inlineStr">
        <is>
          <t>Klass</t>
        </is>
      </c>
      <c r="F4" s="116" t="inlineStr">
        <is>
          <t>Fas</t>
        </is>
      </c>
      <c r="G4" s="116" t="inlineStr">
        <is>
          <t>Dagar</t>
        </is>
      </c>
      <c r="H4" s="116" t="inlineStr">
        <is>
          <t>Cash Fee
(SEK/dag)</t>
        </is>
      </c>
      <c r="I4" s="116" t="inlineStr">
        <is>
          <t>Markn.pris
(SEK/dag)</t>
        </is>
      </c>
      <c r="J4" s="116" t="inlineStr">
        <is>
          <t>Deferred
Fee (SEK)</t>
        </is>
      </c>
      <c r="K4" s="116" t="inlineStr">
        <is>
          <t>Grundp./dag
(från inst.)</t>
        </is>
      </c>
      <c r="L4" s="116" t="inlineStr">
        <is>
          <t>Klassmult.
(från inst.)</t>
        </is>
      </c>
      <c r="M4" s="116" t="inlineStr">
        <is>
          <t>Poäng
(beräknat)</t>
        </is>
      </c>
      <c r="N4" s="116" t="inlineStr">
        <is>
          <t>Anteckningar</t>
        </is>
      </c>
    </row>
    <row r="5" ht="19.5" customHeight="1" s="87">
      <c r="B5" s="117" t="n">
        <v>1</v>
      </c>
      <c r="C5" s="125" t="inlineStr">
        <is>
          <t>Anna Lindström</t>
        </is>
      </c>
      <c r="D5" s="125" t="inlineStr">
        <is>
          <t>Regissör</t>
        </is>
      </c>
      <c r="E5" s="126" t="inlineStr">
        <is>
          <t>A</t>
        </is>
      </c>
      <c r="F5" s="126" t="inlineStr">
        <is>
          <t>F1</t>
        </is>
      </c>
      <c r="G5" s="127" t="n">
        <v>15</v>
      </c>
      <c r="H5" s="127" t="n">
        <v>0</v>
      </c>
      <c r="I5" s="127" t="n">
        <v>2500</v>
      </c>
      <c r="J5" s="128">
        <f>(I5-H5)*G5</f>
        <v/>
      </c>
      <c r="K5" s="129">
        <f>IFERROR(INDEX(Projektinställningar!$G$24:$G$31,MATCH(F5,Projektinställningar!$B$24:$B$31,0)),"?")</f>
        <v/>
      </c>
      <c r="L5" s="130">
        <f>IFERROR(INDEX(Projektinställningar!$D$36:$D$38,MATCH(E5,Projektinställningar!$B$36:$B$38,0)),"?")</f>
        <v/>
      </c>
      <c r="M5" s="131">
        <f>IF(AND(ISNUMBER(K5),ISNUMBER(L5)),G5*K5*L5,"")</f>
        <v/>
      </c>
      <c r="N5" s="126" t="n"/>
    </row>
    <row r="6" ht="19.5" customHeight="1" s="87">
      <c r="B6" s="124" t="n">
        <v>2</v>
      </c>
      <c r="C6" s="125" t="inlineStr">
        <is>
          <t>Anna Lindström</t>
        </is>
      </c>
      <c r="D6" s="125" t="inlineStr">
        <is>
          <t>Regissör</t>
        </is>
      </c>
      <c r="E6" s="126" t="inlineStr">
        <is>
          <t>A</t>
        </is>
      </c>
      <c r="F6" s="126" t="inlineStr">
        <is>
          <t>F4</t>
        </is>
      </c>
      <c r="G6" s="127" t="n">
        <v>40</v>
      </c>
      <c r="H6" s="127" t="n">
        <v>1200</v>
      </c>
      <c r="I6" s="127" t="n">
        <v>2500</v>
      </c>
      <c r="J6" s="128">
        <f>(I6-H6)*G6</f>
        <v/>
      </c>
      <c r="K6" s="129">
        <f>IFERROR(INDEX(Projektinställningar!$G$24:$G$31,MATCH(F6,Projektinställningar!$B$24:$B$31,0)),"?")</f>
        <v/>
      </c>
      <c r="L6" s="130">
        <f>IFERROR(INDEX(Projektinställningar!$D$36:$D$38,MATCH(E6,Projektinställningar!$B$36:$B$38,0)),"?")</f>
        <v/>
      </c>
      <c r="M6" s="131">
        <f>IF(AND(ISNUMBER(K6),ISNUMBER(L6)),G6*K6*L6,"")</f>
        <v/>
      </c>
      <c r="N6" s="126" t="n"/>
    </row>
    <row r="7" ht="19.5" customHeight="1" s="87">
      <c r="B7" s="117" t="n">
        <v>3</v>
      </c>
      <c r="C7" s="125" t="inlineStr">
        <is>
          <t>Erik Johansson</t>
        </is>
      </c>
      <c r="D7" s="125" t="inlineStr">
        <is>
          <t>DOP</t>
        </is>
      </c>
      <c r="E7" s="126" t="inlineStr">
        <is>
          <t>A</t>
        </is>
      </c>
      <c r="F7" s="126" t="inlineStr">
        <is>
          <t>F4</t>
        </is>
      </c>
      <c r="G7" s="127" t="n">
        <v>30</v>
      </c>
      <c r="H7" s="127" t="n">
        <v>1000</v>
      </c>
      <c r="I7" s="127" t="n">
        <v>2000</v>
      </c>
      <c r="J7" s="128">
        <f>(I7-H7)*G7</f>
        <v/>
      </c>
      <c r="K7" s="129">
        <f>IFERROR(INDEX(Projektinställningar!$G$24:$G$31,MATCH(F7,Projektinställningar!$B$24:$B$31,0)),"?")</f>
        <v/>
      </c>
      <c r="L7" s="130">
        <f>IFERROR(INDEX(Projektinställningar!$D$36:$D$38,MATCH(E7,Projektinställningar!$B$36:$B$38,0)),"?")</f>
        <v/>
      </c>
      <c r="M7" s="131">
        <f>IF(AND(ISNUMBER(K7),ISNUMBER(L7)),G7*K7*L7,"")</f>
        <v/>
      </c>
      <c r="N7" s="126" t="n"/>
    </row>
    <row r="8" ht="19.5" customHeight="1" s="87">
      <c r="B8" s="124" t="n">
        <v>4</v>
      </c>
      <c r="C8" s="125" t="inlineStr">
        <is>
          <t>Sara Nilsson</t>
        </is>
      </c>
      <c r="D8" s="125" t="inlineStr">
        <is>
          <t>1:e AD</t>
        </is>
      </c>
      <c r="E8" s="126" t="inlineStr">
        <is>
          <t>B</t>
        </is>
      </c>
      <c r="F8" s="126" t="inlineStr">
        <is>
          <t>F4</t>
        </is>
      </c>
      <c r="G8" s="127" t="n">
        <v>30</v>
      </c>
      <c r="H8" s="127" t="n">
        <v>900</v>
      </c>
      <c r="I8" s="127" t="n">
        <v>1800</v>
      </c>
      <c r="J8" s="128">
        <f>(I8-H8)*G8</f>
        <v/>
      </c>
      <c r="K8" s="129">
        <f>IFERROR(INDEX(Projektinställningar!$G$24:$G$31,MATCH(F8,Projektinställningar!$B$24:$B$31,0)),"?")</f>
        <v/>
      </c>
      <c r="L8" s="130">
        <f>IFERROR(INDEX(Projektinställningar!$D$36:$D$38,MATCH(E8,Projektinställningar!$B$36:$B$38,0)),"?")</f>
        <v/>
      </c>
      <c r="M8" s="131">
        <f>IF(AND(ISNUMBER(K8),ISNUMBER(L8)),G8*K8*L8,"")</f>
        <v/>
      </c>
      <c r="N8" s="126" t="n"/>
    </row>
    <row r="9" ht="19.5" customHeight="1" s="87">
      <c r="B9" s="117" t="n">
        <v>5</v>
      </c>
      <c r="C9" s="125" t="inlineStr">
        <is>
          <t>Per Gustafsson</t>
        </is>
      </c>
      <c r="D9" s="125" t="inlineStr">
        <is>
          <t>Producent</t>
        </is>
      </c>
      <c r="E9" s="126" t="inlineStr">
        <is>
          <t>A</t>
        </is>
      </c>
      <c r="F9" s="126" t="inlineStr">
        <is>
          <t>F1</t>
        </is>
      </c>
      <c r="G9" s="127" t="n">
        <v>20</v>
      </c>
      <c r="H9" s="127" t="n">
        <v>0</v>
      </c>
      <c r="I9" s="127" t="n">
        <v>2500</v>
      </c>
      <c r="J9" s="128">
        <f>(I9-H9)*G9</f>
        <v/>
      </c>
      <c r="K9" s="129">
        <f>IFERROR(INDEX(Projektinställningar!$G$24:$G$31,MATCH(F9,Projektinställningar!$B$24:$B$31,0)),"?")</f>
        <v/>
      </c>
      <c r="L9" s="130">
        <f>IFERROR(INDEX(Projektinställningar!$D$36:$D$38,MATCH(E9,Projektinställningar!$B$36:$B$38,0)),"?")</f>
        <v/>
      </c>
      <c r="M9" s="131">
        <f>IF(AND(ISNUMBER(K9),ISNUMBER(L9)),G9*K9*L9,"")</f>
        <v/>
      </c>
      <c r="N9" s="126" t="n"/>
    </row>
    <row r="10" ht="19.5" customHeight="1" s="87">
      <c r="B10" s="124" t="n">
        <v>6</v>
      </c>
      <c r="C10" s="125" t="inlineStr">
        <is>
          <t>Per Gustafsson</t>
        </is>
      </c>
      <c r="D10" s="125" t="inlineStr">
        <is>
          <t>Producent</t>
        </is>
      </c>
      <c r="E10" s="126" t="inlineStr">
        <is>
          <t>A</t>
        </is>
      </c>
      <c r="F10" s="126" t="inlineStr">
        <is>
          <t>F4</t>
        </is>
      </c>
      <c r="G10" s="127" t="n">
        <v>40</v>
      </c>
      <c r="H10" s="127" t="n">
        <v>1200</v>
      </c>
      <c r="I10" s="127" t="n">
        <v>2500</v>
      </c>
      <c r="J10" s="128">
        <f>(I10-H10)*G10</f>
        <v/>
      </c>
      <c r="K10" s="129">
        <f>IFERROR(INDEX(Projektinställningar!$G$24:$G$31,MATCH(F10,Projektinställningar!$B$24:$B$31,0)),"?")</f>
        <v/>
      </c>
      <c r="L10" s="130">
        <f>IFERROR(INDEX(Projektinställningar!$D$36:$D$38,MATCH(E10,Projektinställningar!$B$36:$B$38,0)),"?")</f>
        <v/>
      </c>
      <c r="M10" s="131">
        <f>IF(AND(ISNUMBER(K10),ISNUMBER(L10)),G10*K10*L10,"")</f>
        <v/>
      </c>
      <c r="N10" s="126" t="n"/>
    </row>
    <row r="11" ht="19.5" customHeight="1" s="87">
      <c r="B11" s="117" t="n">
        <v>7</v>
      </c>
      <c r="C11" s="125" t="inlineStr">
        <is>
          <t>Lena Berg</t>
        </is>
      </c>
      <c r="D11" s="125" t="inlineStr">
        <is>
          <t>Scenograf</t>
        </is>
      </c>
      <c r="E11" s="126" t="inlineStr">
        <is>
          <t>A</t>
        </is>
      </c>
      <c r="F11" s="126" t="inlineStr">
        <is>
          <t>F4</t>
        </is>
      </c>
      <c r="G11" s="127" t="n">
        <v>25</v>
      </c>
      <c r="H11" s="127" t="n">
        <v>1000</v>
      </c>
      <c r="I11" s="127" t="n">
        <v>2000</v>
      </c>
      <c r="J11" s="128">
        <f>(I11-H11)*G11</f>
        <v/>
      </c>
      <c r="K11" s="129">
        <f>IFERROR(INDEX(Projektinställningar!$G$24:$G$31,MATCH(F11,Projektinställningar!$B$24:$B$31,0)),"?")</f>
        <v/>
      </c>
      <c r="L11" s="130">
        <f>IFERROR(INDEX(Projektinställningar!$D$36:$D$38,MATCH(E11,Projektinställningar!$B$36:$B$38,0)),"?")</f>
        <v/>
      </c>
      <c r="M11" s="131">
        <f>IF(AND(ISNUMBER(K11),ISNUMBER(L11)),G11*K11*L11,"")</f>
        <v/>
      </c>
      <c r="N11" s="126" t="n"/>
    </row>
    <row r="12" ht="19.5" customHeight="1" s="87">
      <c r="B12" s="124" t="n">
        <v>8</v>
      </c>
      <c r="C12" s="125" t="inlineStr">
        <is>
          <t>Johan Ek</t>
        </is>
      </c>
      <c r="D12" s="125" t="inlineStr">
        <is>
          <t>Klippare</t>
        </is>
      </c>
      <c r="E12" s="126" t="inlineStr">
        <is>
          <t>A</t>
        </is>
      </c>
      <c r="F12" s="126" t="inlineStr">
        <is>
          <t>F6</t>
        </is>
      </c>
      <c r="G12" s="127" t="n">
        <v>30</v>
      </c>
      <c r="H12" s="127" t="n">
        <v>900</v>
      </c>
      <c r="I12" s="127" t="n">
        <v>2000</v>
      </c>
      <c r="J12" s="128">
        <f>(I12-H12)*G12</f>
        <v/>
      </c>
      <c r="K12" s="129">
        <f>IFERROR(INDEX(Projektinställningar!$G$24:$G$31,MATCH(F12,Projektinställningar!$B$24:$B$31,0)),"?")</f>
        <v/>
      </c>
      <c r="L12" s="130">
        <f>IFERROR(INDEX(Projektinställningar!$D$36:$D$38,MATCH(E12,Projektinställningar!$B$36:$B$38,0)),"?")</f>
        <v/>
      </c>
      <c r="M12" s="131">
        <f>IF(AND(ISNUMBER(K12),ISNUMBER(L12)),G12*K12*L12,"")</f>
        <v/>
      </c>
      <c r="N12" s="126" t="n"/>
    </row>
    <row r="13" ht="19.5" customHeight="1" s="87">
      <c r="B13" s="117" t="n">
        <v>9</v>
      </c>
      <c r="C13" s="125" t="inlineStr">
        <is>
          <t>Maria Svensson</t>
        </is>
      </c>
      <c r="D13" s="125" t="inlineStr">
        <is>
          <t>Kostymör</t>
        </is>
      </c>
      <c r="E13" s="126" t="inlineStr">
        <is>
          <t>B</t>
        </is>
      </c>
      <c r="F13" s="126" t="inlineStr">
        <is>
          <t>F4</t>
        </is>
      </c>
      <c r="G13" s="127" t="n">
        <v>20</v>
      </c>
      <c r="H13" s="127" t="n">
        <v>800</v>
      </c>
      <c r="I13" s="127" t="n">
        <v>1600</v>
      </c>
      <c r="J13" s="128">
        <f>(I13-H13)*G13</f>
        <v/>
      </c>
      <c r="K13" s="129">
        <f>IFERROR(INDEX(Projektinställningar!$G$24:$G$31,MATCH(F13,Projektinställningar!$B$24:$B$31,0)),"?")</f>
        <v/>
      </c>
      <c r="L13" s="130">
        <f>IFERROR(INDEX(Projektinställningar!$D$36:$D$38,MATCH(E13,Projektinställningar!$B$36:$B$38,0)),"?")</f>
        <v/>
      </c>
      <c r="M13" s="131">
        <f>IF(AND(ISNUMBER(K13),ISNUMBER(L13)),G13*K13*L13,"")</f>
        <v/>
      </c>
      <c r="N13" s="126" t="n"/>
    </row>
    <row r="14" ht="19.5" customHeight="1" s="87">
      <c r="B14" s="124" t="n">
        <v>10</v>
      </c>
      <c r="C14" s="125" t="inlineStr">
        <is>
          <t>Kalle Strand</t>
        </is>
      </c>
      <c r="D14" s="125" t="inlineStr">
        <is>
          <t>PA</t>
        </is>
      </c>
      <c r="E14" s="126" t="inlineStr">
        <is>
          <t>C</t>
        </is>
      </c>
      <c r="F14" s="126" t="inlineStr">
        <is>
          <t>F4</t>
        </is>
      </c>
      <c r="G14" s="127" t="n">
        <v>25</v>
      </c>
      <c r="H14" s="127" t="n">
        <v>600</v>
      </c>
      <c r="I14" s="127" t="n">
        <v>600</v>
      </c>
      <c r="J14" s="128">
        <f>(I14-H14)*G14</f>
        <v/>
      </c>
      <c r="K14" s="129">
        <f>IFERROR(INDEX(Projektinställningar!$G$24:$G$31,MATCH(F14,Projektinställningar!$B$24:$B$31,0)),"?")</f>
        <v/>
      </c>
      <c r="L14" s="130">
        <f>IFERROR(INDEX(Projektinställningar!$D$36:$D$38,MATCH(E14,Projektinställningar!$B$36:$B$38,0)),"?")</f>
        <v/>
      </c>
      <c r="M14" s="131">
        <f>IF(AND(ISNUMBER(K14),ISNUMBER(L14)),G14*K14*L14,"")</f>
        <v/>
      </c>
      <c r="N14" s="126" t="n"/>
    </row>
    <row r="15" ht="19.5" customHeight="1" s="87">
      <c r="B15" s="124" t="n">
        <v>11</v>
      </c>
      <c r="C15" s="125" t="inlineStr">
        <is>
          <t>Elin Holm</t>
        </is>
      </c>
      <c r="D15" s="125" t="inlineStr">
        <is>
          <t>Skådespelare (huvudroll)</t>
        </is>
      </c>
      <c r="E15" s="126" t="inlineStr">
        <is>
          <t>A</t>
        </is>
      </c>
      <c r="F15" s="126" t="inlineStr">
        <is>
          <t>F4</t>
        </is>
      </c>
      <c r="G15" s="127" t="n">
        <v>20</v>
      </c>
      <c r="H15" s="127" t="n">
        <v>900</v>
      </c>
      <c r="I15" s="127" t="n">
        <v>2200</v>
      </c>
      <c r="J15" s="128">
        <f>(I15-H15)*G15</f>
        <v/>
      </c>
      <c r="K15" s="129">
        <f>IFERROR(INDEX(Projektinställningar!$G$24:$G$31,MATCH(F15,Projektinställningar!$B$24:$B$31,0)),"?")</f>
        <v/>
      </c>
      <c r="L15" s="130">
        <f>IFERROR(INDEX(Projektinställningar!$D$36:$D$38,MATCH(E15,Projektinställningar!$B$36:$B$38,0)),"?")</f>
        <v/>
      </c>
      <c r="M15" s="131">
        <f>IF(AND(ISNUMBER(K15),ISNUMBER(L15)),G15*K15*L15,"")</f>
        <v/>
      </c>
      <c r="N15" s="126" t="n"/>
    </row>
    <row r="16" ht="21.75" customHeight="1" s="87">
      <c r="B16" s="132" t="inlineStr">
        <is>
          <t>SUMMERING</t>
        </is>
      </c>
      <c r="J16" s="133">
        <f>SUM(J5:J15)</f>
        <v/>
      </c>
      <c r="M16" s="133">
        <f>SUM(M5:M15)</f>
        <v/>
      </c>
    </row>
    <row r="17" ht="19.5" customHeight="1" s="87">
      <c r="B17" s="134" t="n">
        <v>12</v>
      </c>
      <c r="C17" s="126" t="n"/>
      <c r="D17" s="126" t="n"/>
      <c r="E17" s="126" t="n"/>
      <c r="F17" s="126" t="n"/>
      <c r="G17" s="126" t="n"/>
      <c r="H17" s="126" t="n"/>
      <c r="I17" s="126" t="n"/>
      <c r="J17" s="129">
        <f>(I17-H17)*G17</f>
        <v/>
      </c>
      <c r="K17" s="129">
        <f>IFERROR(INDEX(Projektinställningar!$G$24:$G$31,MATCH(F17,Projektinställningar!$B$24:$B$31,0)),"")</f>
        <v/>
      </c>
      <c r="L17" s="130">
        <f>IFERROR(INDEX(Projektinställningar!$D$36:$D$38,MATCH(E17,Projektinställningar!$B$36:$B$38,0)),"")</f>
        <v/>
      </c>
      <c r="M17" s="131">
        <f>IF(AND(ISNUMBER(K17),ISNUMBER(L17)),G17*K17*L17,"")</f>
        <v/>
      </c>
      <c r="N17" s="126" t="n"/>
    </row>
    <row r="18" ht="19.5" customHeight="1" s="87">
      <c r="B18" s="135" t="n">
        <v>13</v>
      </c>
      <c r="C18" s="126" t="n"/>
      <c r="D18" s="126" t="n"/>
      <c r="E18" s="126" t="n"/>
      <c r="F18" s="126" t="n"/>
      <c r="G18" s="126" t="n"/>
      <c r="H18" s="126" t="n"/>
      <c r="I18" s="126" t="n"/>
      <c r="J18" s="129">
        <f>(I18-H18)*G18</f>
        <v/>
      </c>
      <c r="K18" s="129">
        <f>IFERROR(INDEX(Projektinställningar!$G$24:$G$31,MATCH(F18,Projektinställningar!$B$24:$B$31,0)),"")</f>
        <v/>
      </c>
      <c r="L18" s="130">
        <f>IFERROR(INDEX(Projektinställningar!$D$36:$D$38,MATCH(E18,Projektinställningar!$B$36:$B$38,0)),"")</f>
        <v/>
      </c>
      <c r="M18" s="131">
        <f>IF(AND(ISNUMBER(K18),ISNUMBER(L18)),G18*K18*L18,"")</f>
        <v/>
      </c>
      <c r="N18" s="126" t="n"/>
    </row>
    <row r="19" ht="19.5" customHeight="1" s="87">
      <c r="B19" s="134" t="n">
        <v>14</v>
      </c>
      <c r="C19" s="126" t="n"/>
      <c r="D19" s="126" t="n"/>
      <c r="E19" s="126" t="n"/>
      <c r="F19" s="126" t="n"/>
      <c r="G19" s="126" t="n"/>
      <c r="H19" s="126" t="n"/>
      <c r="I19" s="126" t="n"/>
      <c r="J19" s="129">
        <f>(I19-H19)*G19</f>
        <v/>
      </c>
      <c r="K19" s="129">
        <f>IFERROR(INDEX(Projektinställningar!$G$24:$G$31,MATCH(F19,Projektinställningar!$B$24:$B$31,0)),"")</f>
        <v/>
      </c>
      <c r="L19" s="130">
        <f>IFERROR(INDEX(Projektinställningar!$D$36:$D$38,MATCH(E19,Projektinställningar!$B$36:$B$38,0)),"")</f>
        <v/>
      </c>
      <c r="M19" s="131">
        <f>IF(AND(ISNUMBER(K19),ISNUMBER(L19)),G19*K19*L19,"")</f>
        <v/>
      </c>
      <c r="N19" s="126" t="n"/>
    </row>
    <row r="20" ht="19.5" customHeight="1" s="87">
      <c r="B20" s="135" t="n">
        <v>15</v>
      </c>
      <c r="C20" s="126" t="n"/>
      <c r="D20" s="126" t="n"/>
      <c r="E20" s="126" t="n"/>
      <c r="F20" s="126" t="n"/>
      <c r="G20" s="126" t="n"/>
      <c r="H20" s="126" t="n"/>
      <c r="I20" s="126" t="n"/>
      <c r="J20" s="129">
        <f>(I20-H20)*G20</f>
        <v/>
      </c>
      <c r="K20" s="129">
        <f>IFERROR(INDEX(Projektinställningar!$G$24:$G$31,MATCH(F20,Projektinställningar!$B$24:$B$31,0)),"")</f>
        <v/>
      </c>
      <c r="L20" s="130">
        <f>IFERROR(INDEX(Projektinställningar!$D$36:$D$38,MATCH(E20,Projektinställningar!$B$36:$B$38,0)),"")</f>
        <v/>
      </c>
      <c r="M20" s="131">
        <f>IF(AND(ISNUMBER(K20),ISNUMBER(L20)),G20*K20*L20,"")</f>
        <v/>
      </c>
      <c r="N20" s="126" t="n"/>
    </row>
    <row r="21" ht="19.5" customHeight="1" s="87">
      <c r="B21" s="134" t="n">
        <v>16</v>
      </c>
      <c r="C21" s="126" t="n"/>
      <c r="D21" s="126" t="n"/>
      <c r="E21" s="126" t="n"/>
      <c r="F21" s="126" t="n"/>
      <c r="G21" s="126" t="n"/>
      <c r="H21" s="126" t="n"/>
      <c r="I21" s="126" t="n"/>
      <c r="J21" s="129">
        <f>(I21-H21)*G21</f>
        <v/>
      </c>
      <c r="K21" s="129">
        <f>IFERROR(INDEX(Projektinställningar!$G$24:$G$31,MATCH(F21,Projektinställningar!$B$24:$B$31,0)),"")</f>
        <v/>
      </c>
      <c r="L21" s="130">
        <f>IFERROR(INDEX(Projektinställningar!$D$36:$D$38,MATCH(E21,Projektinställningar!$B$36:$B$38,0)),"")</f>
        <v/>
      </c>
      <c r="M21" s="131">
        <f>IF(AND(ISNUMBER(K21),ISNUMBER(L21)),G21*K21*L21,"")</f>
        <v/>
      </c>
      <c r="N21" s="126" t="n"/>
    </row>
    <row r="22" ht="19.5" customHeight="1" s="87">
      <c r="B22" s="135" t="n">
        <v>17</v>
      </c>
      <c r="C22" s="126" t="n"/>
      <c r="D22" s="126" t="n"/>
      <c r="E22" s="126" t="n"/>
      <c r="F22" s="126" t="n"/>
      <c r="G22" s="126" t="n"/>
      <c r="H22" s="126" t="n"/>
      <c r="I22" s="126" t="n"/>
      <c r="J22" s="129">
        <f>(I22-H22)*G22</f>
        <v/>
      </c>
      <c r="K22" s="129">
        <f>IFERROR(INDEX(Projektinställningar!$G$24:$G$31,MATCH(F22,Projektinställningar!$B$24:$B$31,0)),"")</f>
        <v/>
      </c>
      <c r="L22" s="130">
        <f>IFERROR(INDEX(Projektinställningar!$D$36:$D$38,MATCH(E22,Projektinställningar!$B$36:$B$38,0)),"")</f>
        <v/>
      </c>
      <c r="M22" s="131">
        <f>IF(AND(ISNUMBER(K22),ISNUMBER(L22)),G22*K22*L22,"")</f>
        <v/>
      </c>
      <c r="N22" s="126" t="n"/>
    </row>
    <row r="23" ht="19.5" customHeight="1" s="87">
      <c r="B23" s="134" t="n">
        <v>18</v>
      </c>
      <c r="C23" s="126" t="n"/>
      <c r="D23" s="126" t="n"/>
      <c r="E23" s="126" t="n"/>
      <c r="F23" s="126" t="n"/>
      <c r="G23" s="126" t="n"/>
      <c r="H23" s="126" t="n"/>
      <c r="I23" s="126" t="n"/>
      <c r="J23" s="129">
        <f>(I23-H23)*G23</f>
        <v/>
      </c>
      <c r="K23" s="129">
        <f>IFERROR(INDEX(Projektinställningar!$G$24:$G$31,MATCH(F23,Projektinställningar!$B$24:$B$31,0)),"")</f>
        <v/>
      </c>
      <c r="L23" s="130">
        <f>IFERROR(INDEX(Projektinställningar!$D$36:$D$38,MATCH(E23,Projektinställningar!$B$36:$B$38,0)),"")</f>
        <v/>
      </c>
      <c r="M23" s="131">
        <f>IF(AND(ISNUMBER(K23),ISNUMBER(L23)),G23*K23*L23,"")</f>
        <v/>
      </c>
      <c r="N23" s="126" t="n"/>
    </row>
    <row r="24" ht="19.5" customHeight="1" s="87">
      <c r="B24" s="135" t="n">
        <v>19</v>
      </c>
      <c r="C24" s="126" t="n"/>
      <c r="D24" s="126" t="n"/>
      <c r="E24" s="126" t="n"/>
      <c r="F24" s="126" t="n"/>
      <c r="G24" s="126" t="n"/>
      <c r="H24" s="126" t="n"/>
      <c r="I24" s="126" t="n"/>
      <c r="J24" s="129">
        <f>(I24-H24)*G24</f>
        <v/>
      </c>
      <c r="K24" s="129">
        <f>IFERROR(INDEX(Projektinställningar!$G$24:$G$31,MATCH(F24,Projektinställningar!$B$24:$B$31,0)),"")</f>
        <v/>
      </c>
      <c r="L24" s="130">
        <f>IFERROR(INDEX(Projektinställningar!$D$36:$D$38,MATCH(E24,Projektinställningar!$B$36:$B$38,0)),"")</f>
        <v/>
      </c>
      <c r="M24" s="131">
        <f>IF(AND(ISNUMBER(K24),ISNUMBER(L24)),G24*K24*L24,"")</f>
        <v/>
      </c>
      <c r="N24" s="126" t="n"/>
    </row>
    <row r="25" ht="19.5" customHeight="1" s="87">
      <c r="B25" s="134" t="n">
        <v>20</v>
      </c>
      <c r="C25" s="126" t="n"/>
      <c r="D25" s="126" t="n"/>
      <c r="E25" s="126" t="n"/>
      <c r="F25" s="126" t="n"/>
      <c r="G25" s="126" t="n"/>
      <c r="H25" s="126" t="n"/>
      <c r="I25" s="126" t="n"/>
      <c r="J25" s="129">
        <f>(I25-H25)*G25</f>
        <v/>
      </c>
      <c r="K25" s="129">
        <f>IFERROR(INDEX(Projektinställningar!$G$24:$G$31,MATCH(F25,Projektinställningar!$B$24:$B$31,0)),"")</f>
        <v/>
      </c>
      <c r="L25" s="130">
        <f>IFERROR(INDEX(Projektinställningar!$D$36:$D$38,MATCH(E25,Projektinställningar!$B$36:$B$38,0)),"")</f>
        <v/>
      </c>
      <c r="M25" s="131">
        <f>IF(AND(ISNUMBER(K25),ISNUMBER(L25)),G25*K25*L25,"")</f>
        <v/>
      </c>
      <c r="N25" s="126" t="n"/>
    </row>
    <row r="26" ht="19.5" customHeight="1" s="87">
      <c r="B26" s="135" t="n">
        <v>21</v>
      </c>
      <c r="C26" s="126" t="n"/>
      <c r="D26" s="126" t="n"/>
      <c r="E26" s="126" t="n"/>
      <c r="F26" s="126" t="n"/>
      <c r="G26" s="126" t="n"/>
      <c r="H26" s="126" t="n"/>
      <c r="I26" s="126" t="n"/>
      <c r="J26" s="129">
        <f>(I26-H26)*G26</f>
        <v/>
      </c>
      <c r="K26" s="129">
        <f>IFERROR(INDEX(Projektinställningar!$G$24:$G$31,MATCH(F26,Projektinställningar!$B$24:$B$31,0)),"")</f>
        <v/>
      </c>
      <c r="L26" s="130">
        <f>IFERROR(INDEX(Projektinställningar!$D$36:$D$38,MATCH(E26,Projektinställningar!$B$36:$B$38,0)),"")</f>
        <v/>
      </c>
      <c r="M26" s="131">
        <f>IF(AND(ISNUMBER(K26),ISNUMBER(L26)),G26*K26*L26,"")</f>
        <v/>
      </c>
      <c r="N26" s="126" t="n"/>
    </row>
    <row r="27" ht="19.5" customHeight="1" s="87">
      <c r="B27" s="134" t="n">
        <v>22</v>
      </c>
      <c r="C27" s="126" t="n"/>
      <c r="D27" s="126" t="n"/>
      <c r="E27" s="126" t="n"/>
      <c r="F27" s="126" t="n"/>
      <c r="G27" s="126" t="n"/>
      <c r="H27" s="126" t="n"/>
      <c r="I27" s="126" t="n"/>
      <c r="J27" s="129">
        <f>(I27-H27)*G27</f>
        <v/>
      </c>
      <c r="K27" s="129">
        <f>IFERROR(INDEX(Projektinställningar!$G$24:$G$31,MATCH(F27,Projektinställningar!$B$24:$B$31,0)),"")</f>
        <v/>
      </c>
      <c r="L27" s="130">
        <f>IFERROR(INDEX(Projektinställningar!$D$36:$D$38,MATCH(E27,Projektinställningar!$B$36:$B$38,0)),"")</f>
        <v/>
      </c>
      <c r="M27" s="131">
        <f>IF(AND(ISNUMBER(K27),ISNUMBER(L27)),G27*K27*L27,"")</f>
        <v/>
      </c>
      <c r="N27" s="126" t="n"/>
    </row>
    <row r="28" ht="19.5" customHeight="1" s="87">
      <c r="B28" s="135" t="n">
        <v>23</v>
      </c>
      <c r="C28" s="126" t="n"/>
      <c r="D28" s="126" t="n"/>
      <c r="E28" s="126" t="n"/>
      <c r="F28" s="126" t="n"/>
      <c r="G28" s="126" t="n"/>
      <c r="H28" s="126" t="n"/>
      <c r="I28" s="126" t="n"/>
      <c r="J28" s="129">
        <f>(I28-H28)*G28</f>
        <v/>
      </c>
      <c r="K28" s="129">
        <f>IFERROR(INDEX(Projektinställningar!$G$24:$G$31,MATCH(F28,Projektinställningar!$B$24:$B$31,0)),"")</f>
        <v/>
      </c>
      <c r="L28" s="130">
        <f>IFERROR(INDEX(Projektinställningar!$D$36:$D$38,MATCH(E28,Projektinställningar!$B$36:$B$38,0)),"")</f>
        <v/>
      </c>
      <c r="M28" s="131">
        <f>IF(AND(ISNUMBER(K28),ISNUMBER(L28)),G28*K28*L28,"")</f>
        <v/>
      </c>
      <c r="N28" s="126" t="n"/>
    </row>
    <row r="29" ht="19.5" customHeight="1" s="87">
      <c r="B29" s="134" t="n">
        <v>24</v>
      </c>
      <c r="C29" s="126" t="n"/>
      <c r="D29" s="126" t="n"/>
      <c r="E29" s="126" t="n"/>
      <c r="F29" s="126" t="n"/>
      <c r="G29" s="126" t="n"/>
      <c r="H29" s="126" t="n"/>
      <c r="I29" s="126" t="n"/>
      <c r="J29" s="129">
        <f>(I29-H29)*G29</f>
        <v/>
      </c>
      <c r="K29" s="129">
        <f>IFERROR(INDEX(Projektinställningar!$G$24:$G$31,MATCH(F29,Projektinställningar!$B$24:$B$31,0)),"")</f>
        <v/>
      </c>
      <c r="L29" s="130">
        <f>IFERROR(INDEX(Projektinställningar!$D$36:$D$38,MATCH(E29,Projektinställningar!$B$36:$B$38,0)),"")</f>
        <v/>
      </c>
      <c r="M29" s="131">
        <f>IF(AND(ISNUMBER(K29),ISNUMBER(L29)),G29*K29*L29,"")</f>
        <v/>
      </c>
      <c r="N29" s="126" t="n"/>
    </row>
    <row r="30" ht="19.5" customHeight="1" s="87">
      <c r="B30" s="135" t="n">
        <v>25</v>
      </c>
      <c r="C30" s="126" t="n"/>
      <c r="D30" s="126" t="n"/>
      <c r="E30" s="126" t="n"/>
      <c r="F30" s="126" t="n"/>
      <c r="G30" s="126" t="n"/>
      <c r="H30" s="126" t="n"/>
      <c r="I30" s="126" t="n"/>
      <c r="J30" s="129">
        <f>(I30-H30)*G30</f>
        <v/>
      </c>
      <c r="K30" s="129">
        <f>IFERROR(INDEX(Projektinställningar!$G$24:$G$31,MATCH(F30,Projektinställningar!$B$24:$B$31,0)),"")</f>
        <v/>
      </c>
      <c r="L30" s="130">
        <f>IFERROR(INDEX(Projektinställningar!$D$36:$D$38,MATCH(E30,Projektinställningar!$B$36:$B$38,0)),"")</f>
        <v/>
      </c>
      <c r="M30" s="131">
        <f>IF(AND(ISNUMBER(K30),ISNUMBER(L30)),G30*K30*L30,"")</f>
        <v/>
      </c>
      <c r="N30" s="126" t="n"/>
    </row>
    <row r="31">
      <c r="B31" s="134" t="n">
        <v>26</v>
      </c>
      <c r="C31" s="126" t="n"/>
      <c r="D31" s="126" t="n"/>
      <c r="E31" s="126" t="n"/>
      <c r="F31" s="126" t="n"/>
      <c r="G31" s="126" t="n"/>
      <c r="H31" s="126" t="n"/>
      <c r="I31" s="126" t="n"/>
      <c r="J31" s="129">
        <f>(I31-H31)*G31</f>
        <v/>
      </c>
      <c r="K31" s="129">
        <f>IFERROR(INDEX(Projektinställningar!$G$24:$G$31,MATCH(F31,Projektinställningar!$B$24:$B$31,0)),"")</f>
        <v/>
      </c>
      <c r="L31" s="130">
        <f>IFERROR(INDEX(Projektinställningar!$D$36:$D$38,MATCH(E31,Projektinställningar!$B$36:$B$38,0)),"")</f>
        <v/>
      </c>
      <c r="M31" s="131">
        <f>IF(AND(ISNUMBER(K31),ISNUMBER(L31)),G31*K31*L31,"")</f>
        <v/>
      </c>
      <c r="N31" s="126" t="n"/>
    </row>
  </sheetData>
  <mergeCells count="3">
    <mergeCell ref="B3:N3"/>
    <mergeCell ref="B2:N2"/>
    <mergeCell ref="B16:I16"/>
  </mergeCells>
  <dataValidations count="20">
    <dataValidation sqref="E5" showDropDown="0" showInputMessage="0" showErrorMessage="0" allowBlank="0" type="list" errorStyle="stop" operator="between">
      <formula1>"A,B,C"</formula1>
      <formula2>0</formula2>
    </dataValidation>
    <dataValidation sqref="F5" showDropDown="0" showInputMessage="0" showErrorMessage="0" allowBlank="0" type="list" errorStyle="stop" operator="between">
      <formula1>"F1,F2,F3,F4,F5,F6,F7,F8"</formula1>
      <formula2>0</formula2>
    </dataValidation>
    <dataValidation sqref="E6" showDropDown="0" showInputMessage="0" showErrorMessage="0" allowBlank="0" type="list" errorStyle="stop" operator="between">
      <formula1>"A,B,C"</formula1>
      <formula2>0</formula2>
    </dataValidation>
    <dataValidation sqref="F6" showDropDown="0" showInputMessage="0" showErrorMessage="0" allowBlank="0" type="list" errorStyle="stop" operator="between">
      <formula1>"F1,F2,F3,F4,F5,F6,F7,F8"</formula1>
      <formula2>0</formula2>
    </dataValidation>
    <dataValidation sqref="E7" showDropDown="0" showInputMessage="0" showErrorMessage="0" allowBlank="0" type="list" errorStyle="stop" operator="between">
      <formula1>"A,B,C"</formula1>
      <formula2>0</formula2>
    </dataValidation>
    <dataValidation sqref="F7" showDropDown="0" showInputMessage="0" showErrorMessage="0" allowBlank="0" type="list" errorStyle="stop" operator="between">
      <formula1>"F1,F2,F3,F4,F5,F6,F7,F8"</formula1>
      <formula2>0</formula2>
    </dataValidation>
    <dataValidation sqref="E8" showDropDown="0" showInputMessage="0" showErrorMessage="0" allowBlank="0" type="list" errorStyle="stop" operator="between">
      <formula1>"A,B,C"</formula1>
      <formula2>0</formula2>
    </dataValidation>
    <dataValidation sqref="F8" showDropDown="0" showInputMessage="0" showErrorMessage="0" allowBlank="0" type="list" errorStyle="stop" operator="between">
      <formula1>"F1,F2,F3,F4,F5,F6,F7,F8"</formula1>
      <formula2>0</formula2>
    </dataValidation>
    <dataValidation sqref="E9" showDropDown="0" showInputMessage="0" showErrorMessage="0" allowBlank="0" type="list" errorStyle="stop" operator="between">
      <formula1>"A,B,C"</formula1>
      <formula2>0</formula2>
    </dataValidation>
    <dataValidation sqref="F9" showDropDown="0" showInputMessage="0" showErrorMessage="0" allowBlank="0" type="list" errorStyle="stop" operator="between">
      <formula1>"F1,F2,F3,F4,F5,F6,F7,F8"</formula1>
      <formula2>0</formula2>
    </dataValidation>
    <dataValidation sqref="E10" showDropDown="0" showInputMessage="0" showErrorMessage="0" allowBlank="0" type="list" errorStyle="stop" operator="between">
      <formula1>"A,B,C"</formula1>
      <formula2>0</formula2>
    </dataValidation>
    <dataValidation sqref="F10" showDropDown="0" showInputMessage="0" showErrorMessage="0" allowBlank="0" type="list" errorStyle="stop" operator="between">
      <formula1>"F1,F2,F3,F4,F5,F6,F7,F8"</formula1>
      <formula2>0</formula2>
    </dataValidation>
    <dataValidation sqref="E11" showDropDown="0" showInputMessage="0" showErrorMessage="0" allowBlank="0" type="list" errorStyle="stop" operator="between">
      <formula1>"A,B,C"</formula1>
      <formula2>0</formula2>
    </dataValidation>
    <dataValidation sqref="F11" showDropDown="0" showInputMessage="0" showErrorMessage="0" allowBlank="0" type="list" errorStyle="stop" operator="between">
      <formula1>"F1,F2,F3,F4,F5,F6,F7,F8"</formula1>
      <formula2>0</formula2>
    </dataValidation>
    <dataValidation sqref="E12" showDropDown="0" showInputMessage="0" showErrorMessage="0" allowBlank="0" type="list" errorStyle="stop" operator="between">
      <formula1>"A,B,C"</formula1>
      <formula2>0</formula2>
    </dataValidation>
    <dataValidation sqref="F12" showDropDown="0" showInputMessage="0" showErrorMessage="0" allowBlank="0" type="list" errorStyle="stop" operator="between">
      <formula1>"F1,F2,F3,F4,F5,F6,F7,F8"</formula1>
      <formula2>0</formula2>
    </dataValidation>
    <dataValidation sqref="E13" showDropDown="0" showInputMessage="0" showErrorMessage="0" allowBlank="0" type="list" errorStyle="stop" operator="between">
      <formula1>"A,B,C"</formula1>
      <formula2>0</formula2>
    </dataValidation>
    <dataValidation sqref="F13" showDropDown="0" showInputMessage="0" showErrorMessage="0" allowBlank="0" type="list" errorStyle="stop" operator="between">
      <formula1>"F1,F2,F3,F4,F5,F6,F7,F8"</formula1>
      <formula2>0</formula2>
    </dataValidation>
    <dataValidation sqref="E14" showDropDown="0" showInputMessage="0" showErrorMessage="0" allowBlank="0" type="list" errorStyle="stop" operator="between">
      <formula1>"A,B,C"</formula1>
      <formula2>0</formula2>
    </dataValidation>
    <dataValidation sqref="F14" showDropDown="0" showInputMessage="0" showErrorMessage="0" allowBlank="0" type="list" errorStyle="stop" operator="between">
      <formula1>"F1,F2,F3,F4,F5,F6,F7,F8"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G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86" min="1" max="1"/>
    <col width="22" customWidth="1" style="86" min="2" max="2"/>
    <col width="16" customWidth="1" style="86" min="3" max="6"/>
    <col width="20" customWidth="1" style="86" min="7" max="7"/>
  </cols>
  <sheetData>
    <row r="2" ht="27.75" customHeight="1" s="87">
      <c r="B2" s="97" t="inlineStr">
        <is>
          <t>EQUITY DASHBOARD</t>
        </is>
      </c>
    </row>
    <row r="3" ht="15" customHeight="1" s="87">
      <c r="B3" s="115" t="inlineStr">
        <is>
          <t>Automatisk sammanställning — uppdateras när Egeninsats &amp; Poäng fylls i</t>
        </is>
      </c>
    </row>
    <row r="5" ht="19.5" customHeight="1" s="87">
      <c r="B5" s="98" t="inlineStr">
        <is>
          <t>ÄGARANDELAR PER PERSON</t>
        </is>
      </c>
      <c r="C5" s="99" t="n"/>
      <c r="D5" s="99" t="n"/>
      <c r="E5" s="99" t="n"/>
      <c r="F5" s="99" t="n"/>
      <c r="G5" s="100" t="n"/>
    </row>
    <row r="6" ht="15" customHeight="1" s="87">
      <c r="B6" s="105" t="inlineStr">
        <is>
          <t>Namn</t>
        </is>
      </c>
      <c r="C6" s="105" t="inlineStr">
        <is>
          <t>Roll</t>
        </is>
      </c>
      <c r="D6" s="105" t="inlineStr">
        <is>
          <t>Total deferred (SEK)</t>
        </is>
      </c>
      <c r="E6" s="105" t="inlineStr">
        <is>
          <t>Totala poäng</t>
        </is>
      </c>
      <c r="F6" s="105" t="inlineStr">
        <is>
          <t>Ägarandel (%)</t>
        </is>
      </c>
      <c r="G6" s="105" t="inlineStr">
        <is>
          <t>Status</t>
        </is>
      </c>
    </row>
    <row r="7" ht="19.5" customHeight="1" s="87">
      <c r="B7" s="113" t="inlineStr">
        <is>
          <t>Anna Lindström</t>
        </is>
      </c>
      <c r="C7" s="107" t="inlineStr">
        <is>
          <t>Regissör</t>
        </is>
      </c>
      <c r="D7" s="136">
        <f>SUMIF('Egeninsats &amp; Poäng'!C:C,B7,'Egeninsats &amp; Poäng'!J:J)</f>
        <v/>
      </c>
      <c r="E7" s="137">
        <f>SUMIF('Egeninsats &amp; Poäng'!C:C,B7,'Egeninsats &amp; Poäng'!M:M)</f>
        <v/>
      </c>
      <c r="F7" s="138">
        <f>IFERROR(E7/SUM('Egeninsats &amp; Poäng'!M:M),0)</f>
        <v/>
      </c>
      <c r="G7" s="107" t="inlineStr">
        <is>
          <t>Aktiv</t>
        </is>
      </c>
    </row>
    <row r="8" ht="19.5" customHeight="1" s="87">
      <c r="B8" s="114" t="inlineStr">
        <is>
          <t>Per Gustafsson</t>
        </is>
      </c>
      <c r="C8" s="112" t="inlineStr">
        <is>
          <t>Producent</t>
        </is>
      </c>
      <c r="D8" s="128">
        <f>SUMIF('Egeninsats &amp; Poäng'!C:C,B8,'Egeninsats &amp; Poäng'!J:J)</f>
        <v/>
      </c>
      <c r="E8" s="139">
        <f>SUMIF('Egeninsats &amp; Poäng'!C:C,B8,'Egeninsats &amp; Poäng'!M:M)</f>
        <v/>
      </c>
      <c r="F8" s="140">
        <f>IFERROR(E8/SUM('Egeninsats &amp; Poäng'!M:M),0)</f>
        <v/>
      </c>
      <c r="G8" s="112" t="inlineStr">
        <is>
          <t>Aktiv</t>
        </is>
      </c>
    </row>
    <row r="9" ht="19.5" customHeight="1" s="87">
      <c r="B9" s="113" t="inlineStr">
        <is>
          <t>Erik Johansson</t>
        </is>
      </c>
      <c r="C9" s="107" t="inlineStr">
        <is>
          <t>DOP</t>
        </is>
      </c>
      <c r="D9" s="136">
        <f>SUMIF('Egeninsats &amp; Poäng'!C:C,B9,'Egeninsats &amp; Poäng'!J:J)</f>
        <v/>
      </c>
      <c r="E9" s="137">
        <f>SUMIF('Egeninsats &amp; Poäng'!C:C,B9,'Egeninsats &amp; Poäng'!M:M)</f>
        <v/>
      </c>
      <c r="F9" s="138">
        <f>IFERROR(E9/SUM('Egeninsats &amp; Poäng'!M:M),0)</f>
        <v/>
      </c>
      <c r="G9" s="107" t="inlineStr">
        <is>
          <t>Aktiv</t>
        </is>
      </c>
    </row>
    <row r="10" ht="19.5" customHeight="1" s="87">
      <c r="B10" s="114" t="inlineStr">
        <is>
          <t>Sara Nilsson</t>
        </is>
      </c>
      <c r="C10" s="112" t="inlineStr">
        <is>
          <t>1:e AD</t>
        </is>
      </c>
      <c r="D10" s="128">
        <f>SUMIF('Egeninsats &amp; Poäng'!C:C,B10,'Egeninsats &amp; Poäng'!J:J)</f>
        <v/>
      </c>
      <c r="E10" s="139">
        <f>SUMIF('Egeninsats &amp; Poäng'!C:C,B10,'Egeninsats &amp; Poäng'!M:M)</f>
        <v/>
      </c>
      <c r="F10" s="140">
        <f>IFERROR(E10/SUM('Egeninsats &amp; Poäng'!M:M),0)</f>
        <v/>
      </c>
      <c r="G10" s="112" t="inlineStr">
        <is>
          <t>Aktiv</t>
        </is>
      </c>
    </row>
    <row r="11" ht="19.5" customHeight="1" s="87">
      <c r="B11" s="113" t="inlineStr">
        <is>
          <t>Lena Berg</t>
        </is>
      </c>
      <c r="C11" s="107" t="inlineStr">
        <is>
          <t>Scenograf</t>
        </is>
      </c>
      <c r="D11" s="136">
        <f>SUMIF('Egeninsats &amp; Poäng'!C:C,B11,'Egeninsats &amp; Poäng'!J:J)</f>
        <v/>
      </c>
      <c r="E11" s="137">
        <f>SUMIF('Egeninsats &amp; Poäng'!C:C,B11,'Egeninsats &amp; Poäng'!M:M)</f>
        <v/>
      </c>
      <c r="F11" s="138">
        <f>IFERROR(E11/SUM('Egeninsats &amp; Poäng'!M:M),0)</f>
        <v/>
      </c>
      <c r="G11" s="107" t="inlineStr">
        <is>
          <t>Aktiv</t>
        </is>
      </c>
    </row>
    <row r="12" ht="19.5" customHeight="1" s="87">
      <c r="B12" s="114" t="inlineStr">
        <is>
          <t>Johan Ek</t>
        </is>
      </c>
      <c r="C12" s="112" t="inlineStr">
        <is>
          <t>Klippare</t>
        </is>
      </c>
      <c r="D12" s="128">
        <f>SUMIF('Egeninsats &amp; Poäng'!C:C,B12,'Egeninsats &amp; Poäng'!J:J)</f>
        <v/>
      </c>
      <c r="E12" s="139">
        <f>SUMIF('Egeninsats &amp; Poäng'!C:C,B12,'Egeninsats &amp; Poäng'!M:M)</f>
        <v/>
      </c>
      <c r="F12" s="140">
        <f>IFERROR(E12/SUM('Egeninsats &amp; Poäng'!M:M),0)</f>
        <v/>
      </c>
      <c r="G12" s="112" t="inlineStr">
        <is>
          <t>Aktiv</t>
        </is>
      </c>
    </row>
    <row r="13" ht="19.5" customHeight="1" s="87">
      <c r="B13" s="113" t="inlineStr">
        <is>
          <t>Maria Svensson</t>
        </is>
      </c>
      <c r="C13" s="107" t="inlineStr">
        <is>
          <t>Kostymör</t>
        </is>
      </c>
      <c r="D13" s="136">
        <f>SUMIF('Egeninsats &amp; Poäng'!C:C,B13,'Egeninsats &amp; Poäng'!J:J)</f>
        <v/>
      </c>
      <c r="E13" s="137">
        <f>SUMIF('Egeninsats &amp; Poäng'!C:C,B13,'Egeninsats &amp; Poäng'!M:M)</f>
        <v/>
      </c>
      <c r="F13" s="138">
        <f>IFERROR(E13/SUM('Egeninsats &amp; Poäng'!M:M),0)</f>
        <v/>
      </c>
      <c r="G13" s="107" t="inlineStr">
        <is>
          <t>Aktiv</t>
        </is>
      </c>
    </row>
    <row r="14" ht="19.5" customHeight="1" s="87">
      <c r="B14" s="114" t="inlineStr">
        <is>
          <t>Kalle Strand</t>
        </is>
      </c>
      <c r="C14" s="112" t="inlineStr">
        <is>
          <t>PA</t>
        </is>
      </c>
      <c r="D14" s="128">
        <f>SUMIF('Egeninsats &amp; Poäng'!C:C,B14,'Egeninsats &amp; Poäng'!J:J)</f>
        <v/>
      </c>
      <c r="E14" s="139">
        <f>SUMIF('Egeninsats &amp; Poäng'!C:C,B14,'Egeninsats &amp; Poäng'!M:M)</f>
        <v/>
      </c>
      <c r="F14" s="140">
        <f>IFERROR(E14/SUM('Egeninsats &amp; Poäng'!M:M),0)</f>
        <v/>
      </c>
      <c r="G14" s="112" t="inlineStr">
        <is>
          <t>Aktiv</t>
        </is>
      </c>
    </row>
    <row r="15" ht="21.75" customHeight="1" s="87">
      <c r="B15" s="141" t="inlineStr">
        <is>
          <t>TOTALT</t>
        </is>
      </c>
      <c r="C15" s="100" t="n"/>
      <c r="D15" s="142">
        <f>SUM(D7:D14)</f>
        <v/>
      </c>
      <c r="E15" s="133">
        <f>SUM(E7:E14)</f>
        <v/>
      </c>
      <c r="F15" s="143">
        <f>SUM(F7:F14)</f>
        <v/>
      </c>
      <c r="G15" s="144" t="n"/>
    </row>
  </sheetData>
  <mergeCells count="4">
    <mergeCell ref="B3:G3"/>
    <mergeCell ref="B2:G2"/>
    <mergeCell ref="B5:G5"/>
    <mergeCell ref="B15:C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K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86" min="1" max="1"/>
    <col width="8" customWidth="1" style="86" min="2" max="2"/>
    <col width="30" customWidth="1" style="86" min="3" max="3"/>
    <col width="14" customWidth="1" style="86" min="4" max="11"/>
  </cols>
  <sheetData>
    <row r="2" ht="27.75" customHeight="1" s="87">
      <c r="B2" s="97" t="inlineStr">
        <is>
          <t>FASBUDGET — HELHETSBUDGET PER PRODUKTIONSFAS</t>
        </is>
      </c>
    </row>
    <row r="3" ht="15" customHeight="1" s="87">
      <c r="B3" s="115" t="inlineStr">
        <is>
          <t>Knyter an till SFI-posternas struktur (01–26). Varje cell är manuell inmatning eller länk från detaljbudget.</t>
        </is>
      </c>
    </row>
    <row r="5" ht="36" customHeight="1" s="87">
      <c r="B5" s="116" t="inlineStr">
        <is>
          <t>SFI-post</t>
        </is>
      </c>
      <c r="C5" s="116" t="inlineStr">
        <is>
          <t>Benämning</t>
        </is>
      </c>
      <c r="D5" s="116" t="inlineStr">
        <is>
          <t>F1
Development</t>
        </is>
      </c>
      <c r="E5" s="116" t="inlineStr">
        <is>
          <t>F2
Pre-prod</t>
        </is>
      </c>
      <c r="F5" s="116" t="inlineStr">
        <is>
          <t>F3
Pilot</t>
        </is>
      </c>
      <c r="G5" s="116" t="inlineStr">
        <is>
          <t>F4
Prod Fas 1</t>
        </is>
      </c>
      <c r="H5" s="116" t="inlineStr">
        <is>
          <t>F5
Prod Fas 2</t>
        </is>
      </c>
      <c r="I5" s="116" t="inlineStr">
        <is>
          <t>F6
Post</t>
        </is>
      </c>
      <c r="J5" s="116" t="inlineStr">
        <is>
          <t>F7
Lansering</t>
        </is>
      </c>
      <c r="K5" s="145" t="inlineStr">
        <is>
          <t>TOTALT</t>
        </is>
      </c>
    </row>
    <row r="6" ht="21.75" customHeight="1" s="87">
      <c r="B6" s="146" t="inlineStr">
        <is>
          <t>01</t>
        </is>
      </c>
      <c r="C6" s="147" t="inlineStr">
        <is>
          <t>MANUS &amp; FÖRARBETE</t>
        </is>
      </c>
      <c r="D6" s="148" t="n"/>
      <c r="E6" s="148" t="n"/>
      <c r="F6" s="148" t="n"/>
      <c r="G6" s="148" t="n"/>
      <c r="H6" s="148" t="n"/>
      <c r="I6" s="148" t="n"/>
      <c r="J6" s="148" t="n"/>
      <c r="K6" s="148" t="n"/>
    </row>
    <row r="7" ht="19.5" customHeight="1" s="87">
      <c r="B7" s="149" t="inlineStr">
        <is>
          <t>01.1</t>
        </is>
      </c>
      <c r="C7" s="112" t="inlineStr">
        <is>
          <t>Manusarvode</t>
        </is>
      </c>
      <c r="D7" s="127" t="n"/>
      <c r="E7" s="127" t="n"/>
      <c r="F7" s="127" t="n"/>
      <c r="G7" s="127" t="n"/>
      <c r="H7" s="127" t="n"/>
      <c r="I7" s="127" t="n"/>
      <c r="J7" s="127" t="n"/>
      <c r="K7" s="128">
        <f>SUM(D7:J7)</f>
        <v/>
      </c>
    </row>
    <row r="8" ht="19.5" customHeight="1" s="87">
      <c r="B8" s="149" t="inlineStr">
        <is>
          <t>01.2</t>
        </is>
      </c>
      <c r="C8" s="112" t="inlineStr">
        <is>
          <t>Manuskonsultation</t>
        </is>
      </c>
      <c r="D8" s="127" t="n"/>
      <c r="E8" s="127" t="n"/>
      <c r="F8" s="127" t="n"/>
      <c r="G8" s="127" t="n"/>
      <c r="H8" s="127" t="n"/>
      <c r="I8" s="127" t="n"/>
      <c r="J8" s="127" t="n"/>
      <c r="K8" s="128">
        <f>SUM(D8:J8)</f>
        <v/>
      </c>
    </row>
    <row r="9" ht="19.5" customHeight="1" s="87">
      <c r="B9" s="149" t="inlineStr">
        <is>
          <t>01.3</t>
        </is>
      </c>
      <c r="C9" s="112" t="inlineStr">
        <is>
          <t>Research</t>
        </is>
      </c>
      <c r="D9" s="127" t="n"/>
      <c r="E9" s="127" t="n"/>
      <c r="F9" s="127" t="n"/>
      <c r="G9" s="127" t="n"/>
      <c r="H9" s="127" t="n"/>
      <c r="I9" s="127" t="n"/>
      <c r="J9" s="127" t="n"/>
      <c r="K9" s="128">
        <f>SUM(D9:J9)</f>
        <v/>
      </c>
    </row>
    <row r="10" ht="21.75" customHeight="1" s="87">
      <c r="B10" s="146" t="inlineStr">
        <is>
          <t>02</t>
        </is>
      </c>
      <c r="C10" s="147" t="inlineStr">
        <is>
          <t>RÄTTIGHETER</t>
        </is>
      </c>
      <c r="D10" s="148" t="n"/>
      <c r="E10" s="148" t="n"/>
      <c r="F10" s="148" t="n"/>
      <c r="G10" s="148" t="n"/>
      <c r="H10" s="148" t="n"/>
      <c r="I10" s="148" t="n"/>
      <c r="J10" s="148" t="n"/>
      <c r="K10" s="148" t="n"/>
    </row>
    <row r="11" ht="19.5" customHeight="1" s="87">
      <c r="B11" s="149" t="inlineStr">
        <is>
          <t>02.1</t>
        </is>
      </c>
      <c r="C11" s="112" t="inlineStr">
        <is>
          <t>Optionsarvode</t>
        </is>
      </c>
      <c r="D11" s="127" t="n"/>
      <c r="E11" s="127" t="n"/>
      <c r="F11" s="127" t="n"/>
      <c r="G11" s="127" t="n"/>
      <c r="H11" s="127" t="n"/>
      <c r="I11" s="127" t="n"/>
      <c r="J11" s="127" t="n"/>
      <c r="K11" s="128">
        <f>SUM(D11:J11)</f>
        <v/>
      </c>
    </row>
    <row r="12" ht="21.75" customHeight="1" s="87">
      <c r="B12" s="146" t="inlineStr">
        <is>
          <t>03</t>
        </is>
      </c>
      <c r="C12" s="147" t="inlineStr">
        <is>
          <t>PRODUCENT &amp; PROJEKTLEDNING</t>
        </is>
      </c>
      <c r="D12" s="148" t="n"/>
      <c r="E12" s="148" t="n"/>
      <c r="F12" s="148" t="n"/>
      <c r="G12" s="148" t="n"/>
      <c r="H12" s="148" t="n"/>
      <c r="I12" s="148" t="n"/>
      <c r="J12" s="148" t="n"/>
      <c r="K12" s="148" t="n"/>
    </row>
    <row r="13" ht="19.5" customHeight="1" s="87">
      <c r="B13" s="149" t="inlineStr">
        <is>
          <t>03.1</t>
        </is>
      </c>
      <c r="C13" s="112" t="inlineStr">
        <is>
          <t>Producentarvode</t>
        </is>
      </c>
      <c r="D13" s="127" t="n"/>
      <c r="E13" s="127" t="n"/>
      <c r="F13" s="127" t="n"/>
      <c r="G13" s="127" t="n"/>
      <c r="H13" s="127" t="n"/>
      <c r="I13" s="127" t="n"/>
      <c r="J13" s="127" t="n"/>
      <c r="K13" s="128">
        <f>SUM(D13:J13)</f>
        <v/>
      </c>
    </row>
    <row r="14" ht="19.5" customHeight="1" s="87">
      <c r="B14" s="149" t="inlineStr">
        <is>
          <t>03.2</t>
        </is>
      </c>
      <c r="C14" s="112" t="inlineStr">
        <is>
          <t>Linjeprodukton</t>
        </is>
      </c>
      <c r="D14" s="127" t="n"/>
      <c r="E14" s="127" t="n"/>
      <c r="F14" s="127" t="n"/>
      <c r="G14" s="127" t="n"/>
      <c r="H14" s="127" t="n"/>
      <c r="I14" s="127" t="n"/>
      <c r="J14" s="127" t="n"/>
      <c r="K14" s="128">
        <f>SUM(D14:J14)</f>
        <v/>
      </c>
    </row>
    <row r="15" ht="21.75" customHeight="1" s="87">
      <c r="B15" s="146" t="inlineStr">
        <is>
          <t>04</t>
        </is>
      </c>
      <c r="C15" s="147" t="inlineStr">
        <is>
          <t>REGI</t>
        </is>
      </c>
      <c r="D15" s="148" t="n"/>
      <c r="E15" s="148" t="n"/>
      <c r="F15" s="148" t="n"/>
      <c r="G15" s="148" t="n"/>
      <c r="H15" s="148" t="n"/>
      <c r="I15" s="148" t="n"/>
      <c r="J15" s="148" t="n"/>
      <c r="K15" s="148" t="n"/>
    </row>
    <row r="16" ht="19.5" customHeight="1" s="87">
      <c r="B16" s="149" t="inlineStr">
        <is>
          <t>04.1</t>
        </is>
      </c>
      <c r="C16" s="112" t="inlineStr">
        <is>
          <t>Regiarvode</t>
        </is>
      </c>
      <c r="D16" s="127" t="n"/>
      <c r="E16" s="127" t="n"/>
      <c r="F16" s="127" t="n"/>
      <c r="G16" s="127" t="n"/>
      <c r="H16" s="127" t="n"/>
      <c r="I16" s="127" t="n"/>
      <c r="J16" s="127" t="n"/>
      <c r="K16" s="128">
        <f>SUM(D16:J16)</f>
        <v/>
      </c>
    </row>
    <row r="17" ht="19.5" customHeight="1" s="87">
      <c r="B17" s="149" t="inlineStr">
        <is>
          <t>04.2</t>
        </is>
      </c>
      <c r="C17" s="112" t="inlineStr">
        <is>
          <t>Regiassistans</t>
        </is>
      </c>
      <c r="D17" s="127" t="n"/>
      <c r="E17" s="127" t="n"/>
      <c r="F17" s="127" t="n"/>
      <c r="G17" s="127" t="n"/>
      <c r="H17" s="127" t="n"/>
      <c r="I17" s="127" t="n"/>
      <c r="J17" s="127" t="n"/>
      <c r="K17" s="128">
        <f>SUM(D17:J17)</f>
        <v/>
      </c>
    </row>
    <row r="18" ht="21.75" customHeight="1" s="87">
      <c r="B18" s="146" t="inlineStr">
        <is>
          <t>05</t>
        </is>
      </c>
      <c r="C18" s="147" t="inlineStr">
        <is>
          <t>SKÅDESPELERI</t>
        </is>
      </c>
      <c r="D18" s="148" t="n"/>
      <c r="E18" s="148" t="n"/>
      <c r="F18" s="148" t="n"/>
      <c r="G18" s="148" t="n"/>
      <c r="H18" s="148" t="n"/>
      <c r="I18" s="148" t="n"/>
      <c r="J18" s="148" t="n"/>
      <c r="K18" s="148" t="n"/>
    </row>
    <row r="19" ht="19.5" customHeight="1" s="87">
      <c r="B19" s="149" t="inlineStr">
        <is>
          <t>05.1</t>
        </is>
      </c>
      <c r="C19" s="112" t="inlineStr">
        <is>
          <t>Huvudroller</t>
        </is>
      </c>
      <c r="D19" s="127" t="n"/>
      <c r="E19" s="127" t="n"/>
      <c r="F19" s="127" t="n"/>
      <c r="G19" s="127" t="n"/>
      <c r="H19" s="127" t="n"/>
      <c r="I19" s="127" t="n"/>
      <c r="J19" s="127" t="n"/>
      <c r="K19" s="128">
        <f>SUM(D19:J19)</f>
        <v/>
      </c>
    </row>
    <row r="20" ht="19.5" customHeight="1" s="87">
      <c r="B20" s="149" t="inlineStr">
        <is>
          <t>05.2</t>
        </is>
      </c>
      <c r="C20" s="112" t="inlineStr">
        <is>
          <t>Biroller</t>
        </is>
      </c>
      <c r="D20" s="127" t="n"/>
      <c r="E20" s="127" t="n"/>
      <c r="F20" s="127" t="n"/>
      <c r="G20" s="127" t="n"/>
      <c r="H20" s="127" t="n"/>
      <c r="I20" s="127" t="n"/>
      <c r="J20" s="127" t="n"/>
      <c r="K20" s="128">
        <f>SUM(D20:J20)</f>
        <v/>
      </c>
    </row>
    <row r="21" ht="21.75" customHeight="1" s="87">
      <c r="B21" s="146" t="inlineStr">
        <is>
          <t>06</t>
        </is>
      </c>
      <c r="C21" s="147" t="inlineStr">
        <is>
          <t>FOTO &amp; KAMERATEKNIK</t>
        </is>
      </c>
      <c r="D21" s="148" t="n"/>
      <c r="E21" s="148" t="n"/>
      <c r="F21" s="148" t="n"/>
      <c r="G21" s="148" t="n"/>
      <c r="H21" s="148" t="n"/>
      <c r="I21" s="148" t="n"/>
      <c r="J21" s="148" t="n"/>
      <c r="K21" s="148" t="n"/>
    </row>
    <row r="22" ht="19.5" customHeight="1" s="87">
      <c r="B22" s="149" t="inlineStr">
        <is>
          <t>06.1</t>
        </is>
      </c>
      <c r="C22" s="112" t="inlineStr">
        <is>
          <t>DOP-arvode</t>
        </is>
      </c>
      <c r="D22" s="127" t="n"/>
      <c r="E22" s="127" t="n"/>
      <c r="F22" s="127" t="n"/>
      <c r="G22" s="127" t="n"/>
      <c r="H22" s="127" t="n"/>
      <c r="I22" s="127" t="n"/>
      <c r="J22" s="127" t="n"/>
      <c r="K22" s="128">
        <f>SUM(D22:J22)</f>
        <v/>
      </c>
    </row>
    <row r="23" ht="19.5" customHeight="1" s="87">
      <c r="B23" s="149" t="inlineStr">
        <is>
          <t>06.2</t>
        </is>
      </c>
      <c r="C23" s="112" t="inlineStr">
        <is>
          <t>Kamerautrustning</t>
        </is>
      </c>
      <c r="D23" s="127" t="n"/>
      <c r="E23" s="127" t="n"/>
      <c r="F23" s="127" t="n"/>
      <c r="G23" s="127" t="n"/>
      <c r="H23" s="127" t="n"/>
      <c r="I23" s="127" t="n"/>
      <c r="J23" s="127" t="n"/>
      <c r="K23" s="128">
        <f>SUM(D23:J23)</f>
        <v/>
      </c>
    </row>
    <row r="24" ht="21.75" customHeight="1" s="87">
      <c r="B24" s="146" t="inlineStr">
        <is>
          <t>07</t>
        </is>
      </c>
      <c r="C24" s="147" t="inlineStr">
        <is>
          <t>LJUS &amp; ELEKTRISK</t>
        </is>
      </c>
      <c r="D24" s="148" t="n"/>
      <c r="E24" s="148" t="n"/>
      <c r="F24" s="148" t="n"/>
      <c r="G24" s="148" t="n"/>
      <c r="H24" s="148" t="n"/>
      <c r="I24" s="148" t="n"/>
      <c r="J24" s="148" t="n"/>
      <c r="K24" s="148" t="n"/>
    </row>
    <row r="25" ht="21.75" customHeight="1" s="87">
      <c r="B25" s="146" t="inlineStr">
        <is>
          <t>08</t>
        </is>
      </c>
      <c r="C25" s="147" t="inlineStr">
        <is>
          <t>LJUD</t>
        </is>
      </c>
      <c r="D25" s="148" t="n"/>
      <c r="E25" s="148" t="n"/>
      <c r="F25" s="148" t="n"/>
      <c r="G25" s="148" t="n"/>
      <c r="H25" s="148" t="n"/>
      <c r="I25" s="148" t="n"/>
      <c r="J25" s="148" t="n"/>
      <c r="K25" s="148" t="n"/>
    </row>
    <row r="26" ht="21.75" customHeight="1" s="87">
      <c r="B26" s="146" t="inlineStr">
        <is>
          <t>09</t>
        </is>
      </c>
      <c r="C26" s="147" t="inlineStr">
        <is>
          <t>SCENOGRAFI &amp; REKVISITA</t>
        </is>
      </c>
      <c r="D26" s="148" t="n"/>
      <c r="E26" s="148" t="n"/>
      <c r="F26" s="148" t="n"/>
      <c r="G26" s="148" t="n"/>
      <c r="H26" s="148" t="n"/>
      <c r="I26" s="148" t="n"/>
      <c r="J26" s="148" t="n"/>
      <c r="K26" s="148" t="n"/>
    </row>
    <row r="27" ht="21.75" customHeight="1" s="87">
      <c r="B27" s="146" t="inlineStr">
        <is>
          <t>10</t>
        </is>
      </c>
      <c r="C27" s="147" t="inlineStr">
        <is>
          <t>KOSTYM &amp; MASK</t>
        </is>
      </c>
      <c r="D27" s="148" t="n"/>
      <c r="E27" s="148" t="n"/>
      <c r="F27" s="148" t="n"/>
      <c r="G27" s="148" t="n"/>
      <c r="H27" s="148" t="n"/>
      <c r="I27" s="148" t="n"/>
      <c r="J27" s="148" t="n"/>
      <c r="K27" s="148" t="n"/>
    </row>
    <row r="28" ht="21.75" customHeight="1" s="87">
      <c r="B28" s="146" t="inlineStr">
        <is>
          <t>11</t>
        </is>
      </c>
      <c r="C28" s="147" t="inlineStr">
        <is>
          <t>LOCATIONS &amp; STUDIOR</t>
        </is>
      </c>
      <c r="D28" s="148" t="n"/>
      <c r="E28" s="148" t="n"/>
      <c r="F28" s="148" t="n"/>
      <c r="G28" s="148" t="n"/>
      <c r="H28" s="148" t="n"/>
      <c r="I28" s="148" t="n"/>
      <c r="J28" s="148" t="n"/>
      <c r="K28" s="148" t="n"/>
    </row>
    <row r="29" ht="21.75" customHeight="1" s="87">
      <c r="B29" s="146" t="inlineStr">
        <is>
          <t>12</t>
        </is>
      </c>
      <c r="C29" s="147" t="inlineStr">
        <is>
          <t>TRANSPORT</t>
        </is>
      </c>
      <c r="D29" s="148" t="n"/>
      <c r="E29" s="148" t="n"/>
      <c r="F29" s="148" t="n"/>
      <c r="G29" s="148" t="n"/>
      <c r="H29" s="148" t="n"/>
      <c r="I29" s="148" t="n"/>
      <c r="J29" s="148" t="n"/>
      <c r="K29" s="148" t="n"/>
    </row>
    <row r="30" ht="21.75" customHeight="1" s="87">
      <c r="B30" s="146" t="inlineStr">
        <is>
          <t>13</t>
        </is>
      </c>
      <c r="C30" s="147" t="inlineStr">
        <is>
          <t>CATERING &amp; LOGI</t>
        </is>
      </c>
      <c r="D30" s="148" t="n"/>
      <c r="E30" s="148" t="n"/>
      <c r="F30" s="148" t="n"/>
      <c r="G30" s="148" t="n"/>
      <c r="H30" s="148" t="n"/>
      <c r="I30" s="148" t="n"/>
      <c r="J30" s="148" t="n"/>
      <c r="K30" s="148" t="n"/>
    </row>
    <row r="31" ht="21.75" customHeight="1" s="87">
      <c r="B31" s="146" t="inlineStr">
        <is>
          <t>14</t>
        </is>
      </c>
      <c r="C31" s="147" t="inlineStr">
        <is>
          <t>INSPELNINGSLEDNING</t>
        </is>
      </c>
      <c r="D31" s="148" t="n"/>
      <c r="E31" s="148" t="n"/>
      <c r="F31" s="148" t="n"/>
      <c r="G31" s="148" t="n"/>
      <c r="H31" s="148" t="n"/>
      <c r="I31" s="148" t="n"/>
      <c r="J31" s="148" t="n"/>
      <c r="K31" s="148" t="n"/>
    </row>
    <row r="32" ht="21.75" customHeight="1" s="87">
      <c r="B32" s="146" t="inlineStr">
        <is>
          <t>15</t>
        </is>
      </c>
      <c r="C32" s="147" t="inlineStr">
        <is>
          <t>POSTPRODUKTION — BILD</t>
        </is>
      </c>
      <c r="D32" s="148" t="n"/>
      <c r="E32" s="148" t="n"/>
      <c r="F32" s="148" t="n"/>
      <c r="G32" s="148" t="n"/>
      <c r="H32" s="148" t="n"/>
      <c r="I32" s="148" t="n"/>
      <c r="J32" s="148" t="n"/>
      <c r="K32" s="148" t="n"/>
    </row>
    <row r="33" ht="19.5" customHeight="1" s="87">
      <c r="B33" s="149" t="inlineStr">
        <is>
          <t>15.1</t>
        </is>
      </c>
      <c r="C33" s="112" t="inlineStr">
        <is>
          <t>Klippning</t>
        </is>
      </c>
      <c r="D33" s="127" t="n"/>
      <c r="E33" s="127" t="n"/>
      <c r="F33" s="127" t="n"/>
      <c r="G33" s="127" t="n"/>
      <c r="H33" s="127" t="n"/>
      <c r="I33" s="127" t="n"/>
      <c r="J33" s="127" t="n"/>
      <c r="K33" s="128">
        <f>SUM(D33:J33)</f>
        <v/>
      </c>
    </row>
    <row r="34" ht="19.5" customHeight="1" s="87">
      <c r="B34" s="149" t="inlineStr">
        <is>
          <t>15.2</t>
        </is>
      </c>
      <c r="C34" s="112" t="inlineStr">
        <is>
          <t>VFX &amp; DI</t>
        </is>
      </c>
      <c r="D34" s="127" t="n"/>
      <c r="E34" s="127" t="n"/>
      <c r="F34" s="127" t="n"/>
      <c r="G34" s="127" t="n"/>
      <c r="H34" s="127" t="n"/>
      <c r="I34" s="127" t="n"/>
      <c r="J34" s="127" t="n"/>
      <c r="K34" s="128">
        <f>SUM(D34:J34)</f>
        <v/>
      </c>
    </row>
    <row r="35" ht="21.75" customHeight="1" s="87">
      <c r="B35" s="146" t="inlineStr">
        <is>
          <t>16</t>
        </is>
      </c>
      <c r="C35" s="147" t="inlineStr">
        <is>
          <t>POSTPRODUKTION — LJUD</t>
        </is>
      </c>
      <c r="D35" s="148" t="n"/>
      <c r="E35" s="148" t="n"/>
      <c r="F35" s="148" t="n"/>
      <c r="G35" s="148" t="n"/>
      <c r="H35" s="148" t="n"/>
      <c r="I35" s="148" t="n"/>
      <c r="J35" s="148" t="n"/>
      <c r="K35" s="148" t="n"/>
    </row>
    <row r="36" ht="19.5" customHeight="1" s="87">
      <c r="B36" s="149" t="inlineStr">
        <is>
          <t>16.1</t>
        </is>
      </c>
      <c r="C36" s="112" t="inlineStr">
        <is>
          <t>Ljuddesign &amp; mix</t>
        </is>
      </c>
      <c r="D36" s="127" t="n"/>
      <c r="E36" s="127" t="n"/>
      <c r="F36" s="127" t="n"/>
      <c r="G36" s="127" t="n"/>
      <c r="H36" s="127" t="n"/>
      <c r="I36" s="127" t="n"/>
      <c r="J36" s="127" t="n"/>
      <c r="K36" s="128">
        <f>SUM(D36:J36)</f>
        <v/>
      </c>
    </row>
    <row r="37" ht="21.75" customHeight="1" s="87">
      <c r="B37" s="146" t="inlineStr">
        <is>
          <t>17</t>
        </is>
      </c>
      <c r="C37" s="147" t="inlineStr">
        <is>
          <t>MUSIK</t>
        </is>
      </c>
      <c r="D37" s="148" t="n"/>
      <c r="E37" s="148" t="n"/>
      <c r="F37" s="148" t="n"/>
      <c r="G37" s="148" t="n"/>
      <c r="H37" s="148" t="n"/>
      <c r="I37" s="148" t="n"/>
      <c r="J37" s="148" t="n"/>
      <c r="K37" s="148" t="n"/>
    </row>
    <row r="38" ht="21.75" customHeight="1" s="87">
      <c r="B38" s="146" t="inlineStr">
        <is>
          <t>18</t>
        </is>
      </c>
      <c r="C38" s="147" t="inlineStr">
        <is>
          <t>TEXTNING &amp; DUBBNING</t>
        </is>
      </c>
      <c r="D38" s="148" t="n"/>
      <c r="E38" s="148" t="n"/>
      <c r="F38" s="148" t="n"/>
      <c r="G38" s="148" t="n"/>
      <c r="H38" s="148" t="n"/>
      <c r="I38" s="148" t="n"/>
      <c r="J38" s="148" t="n"/>
      <c r="K38" s="148" t="n"/>
    </row>
    <row r="39" ht="21.75" customHeight="1" s="87">
      <c r="B39" s="146" t="inlineStr">
        <is>
          <t>19</t>
        </is>
      </c>
      <c r="C39" s="147" t="inlineStr">
        <is>
          <t>MASTERING &amp; LEVERANS</t>
        </is>
      </c>
      <c r="D39" s="148" t="n"/>
      <c r="E39" s="148" t="n"/>
      <c r="F39" s="148" t="n"/>
      <c r="G39" s="148" t="n"/>
      <c r="H39" s="148" t="n"/>
      <c r="I39" s="148" t="n"/>
      <c r="J39" s="148" t="n"/>
      <c r="K39" s="148" t="n"/>
    </row>
    <row r="40" ht="21.75" customHeight="1" s="87">
      <c r="B40" s="146" t="inlineStr">
        <is>
          <t>20</t>
        </is>
      </c>
      <c r="C40" s="147" t="inlineStr">
        <is>
          <t>FESTIVALER &amp; PROMOTION</t>
        </is>
      </c>
      <c r="D40" s="148" t="n"/>
      <c r="E40" s="148" t="n"/>
      <c r="F40" s="148" t="n"/>
      <c r="G40" s="148" t="n"/>
      <c r="H40" s="148" t="n"/>
      <c r="I40" s="148" t="n"/>
      <c r="J40" s="148" t="n"/>
      <c r="K40" s="148" t="n"/>
    </row>
    <row r="41" ht="21.75" customHeight="1" s="87">
      <c r="B41" s="146" t="inlineStr">
        <is>
          <t>21</t>
        </is>
      </c>
      <c r="C41" s="147" t="inlineStr">
        <is>
          <t>FÖRSÄKRINGAR</t>
        </is>
      </c>
      <c r="D41" s="148" t="n"/>
      <c r="E41" s="148" t="n"/>
      <c r="F41" s="148" t="n"/>
      <c r="G41" s="148" t="n"/>
      <c r="H41" s="148" t="n"/>
      <c r="I41" s="148" t="n"/>
      <c r="J41" s="148" t="n"/>
      <c r="K41" s="148" t="n"/>
    </row>
    <row r="42" ht="21.75" customHeight="1" s="87">
      <c r="B42" s="146" t="inlineStr">
        <is>
          <t>22</t>
        </is>
      </c>
      <c r="C42" s="147" t="inlineStr">
        <is>
          <t>ADMINISTRATION &amp; OVERHEAD</t>
        </is>
      </c>
      <c r="D42" s="148" t="n"/>
      <c r="E42" s="148" t="n"/>
      <c r="F42" s="148" t="n"/>
      <c r="G42" s="148" t="n"/>
      <c r="H42" s="148" t="n"/>
      <c r="I42" s="148" t="n"/>
      <c r="J42" s="148" t="n"/>
      <c r="K42" s="148" t="n"/>
    </row>
    <row r="43" ht="21.75" customHeight="1" s="87">
      <c r="B43" s="146" t="inlineStr">
        <is>
          <t>23</t>
        </is>
      </c>
      <c r="C43" s="147" t="inlineStr">
        <is>
          <t>FINANCIAL &amp; LEGAL</t>
        </is>
      </c>
      <c r="D43" s="148" t="n"/>
      <c r="E43" s="148" t="n"/>
      <c r="F43" s="148" t="n"/>
      <c r="G43" s="148" t="n"/>
      <c r="H43" s="148" t="n"/>
      <c r="I43" s="148" t="n"/>
      <c r="J43" s="148" t="n"/>
      <c r="K43" s="148" t="n"/>
    </row>
    <row r="44" ht="21.75" customHeight="1" s="87">
      <c r="B44" s="146" t="inlineStr">
        <is>
          <t>24</t>
        </is>
      </c>
      <c r="C44" s="147" t="inlineStr">
        <is>
          <t>OFÖRUTSETT (5%)</t>
        </is>
      </c>
      <c r="D44" s="148" t="n"/>
      <c r="E44" s="148" t="n"/>
      <c r="F44" s="148" t="n"/>
      <c r="G44" s="148" t="n"/>
      <c r="H44" s="148" t="n"/>
      <c r="I44" s="148" t="n"/>
      <c r="J44" s="148" t="n"/>
      <c r="K44" s="148" t="n"/>
    </row>
    <row r="45" ht="21.75" customHeight="1" s="87">
      <c r="B45" s="146" t="inlineStr">
        <is>
          <t>25</t>
        </is>
      </c>
      <c r="C45" s="147" t="inlineStr">
        <is>
          <t>EGENINSATS / DEFERRED</t>
        </is>
      </c>
      <c r="D45" s="148" t="n"/>
      <c r="E45" s="148" t="n"/>
      <c r="F45" s="148" t="n"/>
      <c r="G45" s="148" t="n"/>
      <c r="H45" s="148" t="n"/>
      <c r="I45" s="148" t="n"/>
      <c r="J45" s="148" t="n"/>
      <c r="K45" s="148" t="n"/>
    </row>
    <row r="46" ht="21.75" customHeight="1" s="87">
      <c r="B46" s="150" t="inlineStr">
        <is>
          <t>26</t>
        </is>
      </c>
      <c r="C46" s="141" t="inlineStr">
        <is>
          <t>TOTALT BUDGET</t>
        </is>
      </c>
      <c r="D46" s="142">
        <f>SUM(D6:D45)</f>
        <v/>
      </c>
      <c r="E46" s="142">
        <f>SUM(E6:E45)</f>
        <v/>
      </c>
      <c r="F46" s="142">
        <f>SUM(F6:F45)</f>
        <v/>
      </c>
      <c r="G46" s="142">
        <f>SUM(G6:G45)</f>
        <v/>
      </c>
      <c r="H46" s="142">
        <f>SUM(H6:H45)</f>
        <v/>
      </c>
      <c r="I46" s="142">
        <f>SUM(I6:I45)</f>
        <v/>
      </c>
      <c r="J46" s="142">
        <f>SUM(J6:J45)</f>
        <v/>
      </c>
      <c r="K46" s="142">
        <f>SUM(D46:J46)</f>
        <v/>
      </c>
    </row>
  </sheetData>
  <mergeCells count="2">
    <mergeCell ref="B3:K3"/>
    <mergeCell ref="B2:K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F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86" min="1" max="1"/>
    <col width="30" customWidth="1" style="86" min="2" max="2"/>
    <col width="18" customWidth="1" style="86" min="3" max="6"/>
  </cols>
  <sheetData>
    <row r="2" ht="27.75" customHeight="1" s="87">
      <c r="B2" s="97" t="inlineStr">
        <is>
          <t>WATERFALL — RECOUPMENT SIMULERING</t>
        </is>
      </c>
    </row>
    <row r="3" ht="15" customHeight="1" s="87">
      <c r="B3" s="115" t="inlineStr">
        <is>
          <t>Simulera utfall vid tre scenarier. Blå celler = inmatning.</t>
        </is>
      </c>
    </row>
    <row r="5" ht="36" customHeight="1" s="87">
      <c r="D5" s="151" t="inlineStr">
        <is>
          <t>Scenario A
(Litet utfall)</t>
        </is>
      </c>
      <c r="E5" s="151" t="inlineStr">
        <is>
          <t>Scenario B
(Mellanstort)</t>
        </is>
      </c>
      <c r="F5" s="151" t="inlineStr">
        <is>
          <t>Scenario C
(Stort utfall)</t>
        </is>
      </c>
    </row>
    <row r="6" ht="15" customHeight="1" s="87">
      <c r="B6" s="98" t="inlineStr">
        <is>
          <t>INPARAMETRAR (fyll i)</t>
        </is>
      </c>
      <c r="C6" s="99" t="n"/>
      <c r="D6" s="99" t="n"/>
      <c r="E6" s="99" t="n"/>
      <c r="F6" s="100" t="n"/>
    </row>
    <row r="7" ht="19.5" customHeight="1" s="87">
      <c r="B7" s="107" t="inlineStr">
        <is>
          <t>Bruttointäkt (SEK)</t>
        </is>
      </c>
      <c r="D7" s="127" t="n">
        <v>500000</v>
      </c>
      <c r="E7" s="127" t="n">
        <v>2000000</v>
      </c>
      <c r="F7" s="127" t="n">
        <v>8000000</v>
      </c>
    </row>
    <row r="8" ht="19.5" customHeight="1" s="87">
      <c r="B8" s="112" t="inlineStr">
        <is>
          <t>Distributionsavgift (%)</t>
        </is>
      </c>
      <c r="D8" s="152" t="n">
        <v>0.25</v>
      </c>
      <c r="E8" s="152" t="n">
        <v>0.25</v>
      </c>
      <c r="F8" s="152" t="n">
        <v>0.2</v>
      </c>
    </row>
    <row r="9" ht="19.5" customHeight="1" s="87">
      <c r="B9" s="107" t="inlineStr">
        <is>
          <t>Kontant budget / negativkostnad (SEK)</t>
        </is>
      </c>
      <c r="D9" s="127" t="n"/>
      <c r="E9" s="127" t="n"/>
      <c r="F9" s="127" t="n"/>
    </row>
    <row r="10" ht="19.5" customHeight="1" s="87">
      <c r="B10" s="112" t="inlineStr">
        <is>
          <t>Extern finansiärs kapital (SEK)</t>
        </is>
      </c>
      <c r="D10" s="127" t="n">
        <v>0</v>
      </c>
      <c r="E10" s="127" t="n">
        <v>500000</v>
      </c>
      <c r="F10" s="127" t="n">
        <v>1000000</v>
      </c>
    </row>
    <row r="11" ht="19.5" customHeight="1" s="87">
      <c r="B11" s="107" t="inlineStr">
        <is>
          <t>Finansiärs avkastningsmultiplikator</t>
        </is>
      </c>
      <c r="D11" s="109" t="n">
        <v>1</v>
      </c>
      <c r="E11" s="109" t="n">
        <v>1.2</v>
      </c>
      <c r="F11" s="109" t="n">
        <v>1.2</v>
      </c>
    </row>
    <row r="12" ht="19.5" customHeight="1" s="87">
      <c r="B12" s="112" t="inlineStr">
        <is>
          <t>Total deferred fee pool (SEK, från Dashboard)</t>
        </is>
      </c>
      <c r="D12" s="127" t="n"/>
      <c r="E12" s="127" t="n"/>
      <c r="F12" s="127" t="n"/>
    </row>
    <row r="14" ht="15" customHeight="1" s="87">
      <c r="B14" s="98" t="inlineStr">
        <is>
          <t>WATERFALL-BERÄKNING</t>
        </is>
      </c>
      <c r="C14" s="99" t="n"/>
      <c r="D14" s="99" t="n"/>
      <c r="E14" s="99" t="n"/>
      <c r="F14" s="100" t="n"/>
    </row>
    <row r="15" ht="21.75" customHeight="1" s="87">
      <c r="B15" s="107" t="inlineStr">
        <is>
          <t>Steg 1  Bruttointäkt</t>
        </is>
      </c>
      <c r="D15" s="136">
        <f>D7</f>
        <v/>
      </c>
      <c r="E15" s="136">
        <f>E7</f>
        <v/>
      </c>
      <c r="F15" s="136">
        <f>F7</f>
        <v/>
      </c>
    </row>
    <row r="16" ht="21.75" customHeight="1" s="87">
      <c r="B16" s="112" t="inlineStr">
        <is>
          <t>Steg 1b  — Distributionsavgift (–)</t>
        </is>
      </c>
      <c r="D16" s="128">
        <f>-D7*D8</f>
        <v/>
      </c>
      <c r="E16" s="128">
        <f>-E7*E8</f>
        <v/>
      </c>
      <c r="F16" s="128">
        <f>-F7*F8</f>
        <v/>
      </c>
    </row>
    <row r="17" ht="21.75" customHeight="1" s="87">
      <c r="B17" s="153" t="inlineStr">
        <is>
          <t>NETTO EFTER DISTRIBUTION</t>
        </is>
      </c>
      <c r="D17" s="142">
        <f>D15+D16</f>
        <v/>
      </c>
      <c r="E17" s="142">
        <f>E15+E16</f>
        <v/>
      </c>
      <c r="F17" s="142">
        <f>F15+F16</f>
        <v/>
      </c>
    </row>
    <row r="18" ht="21.75" customHeight="1" s="87">
      <c r="B18" s="112" t="inlineStr">
        <is>
          <t>Steg 2  — Extern finansiärs recoupment (–)</t>
        </is>
      </c>
      <c r="D18" s="128">
        <f>-MIN(D10*D11,D17)</f>
        <v/>
      </c>
      <c r="E18" s="128">
        <f>-MIN(E10*E11,E17)</f>
        <v/>
      </c>
      <c r="F18" s="128">
        <f>-MIN(F10*F11,F17)</f>
        <v/>
      </c>
    </row>
    <row r="19" ht="21.75" customHeight="1" s="87">
      <c r="B19" s="153" t="inlineStr">
        <is>
          <t>NETTO EFTER FINANSIÄR</t>
        </is>
      </c>
      <c r="D19" s="142">
        <f>D17+D18</f>
        <v/>
      </c>
      <c r="E19" s="142">
        <f>E17+E18</f>
        <v/>
      </c>
      <c r="F19" s="142">
        <f>F17+F18</f>
        <v/>
      </c>
    </row>
    <row r="20" ht="21.75" customHeight="1" s="87">
      <c r="B20" s="112" t="inlineStr">
        <is>
          <t>Steg 3  — Deferred fee pool (–)</t>
        </is>
      </c>
      <c r="D20" s="128">
        <f>-MIN(D12,MAX(0,D19))</f>
        <v/>
      </c>
      <c r="E20" s="128">
        <f>-MIN(E12,MAX(0,E19))</f>
        <v/>
      </c>
      <c r="F20" s="128">
        <f>-MIN(F12,MAX(0,F19))</f>
        <v/>
      </c>
    </row>
    <row r="21" ht="21.75" customHeight="1" s="87">
      <c r="B21" s="153" t="inlineStr">
        <is>
          <t>NETTO EFTER DEFERRED</t>
        </is>
      </c>
      <c r="D21" s="142">
        <f>MAX(0,D19+D20)</f>
        <v/>
      </c>
      <c r="E21" s="142">
        <f>MAX(0,E19+E20)</f>
        <v/>
      </c>
      <c r="F21" s="142">
        <f>MAX(0,F19+F20)</f>
        <v/>
      </c>
    </row>
    <row r="22" ht="21.75" customHeight="1" s="87">
      <c r="B22" s="154" t="inlineStr">
        <is>
          <t>Steg 4  Crew equity-pool (50% av netto)</t>
        </is>
      </c>
      <c r="D22" s="128">
        <f>D21*0.5</f>
        <v/>
      </c>
      <c r="E22" s="128">
        <f>E21*0.5</f>
        <v/>
      </c>
      <c r="F22" s="128">
        <f>F21*0.5</f>
        <v/>
      </c>
    </row>
    <row r="23" ht="21.75" customHeight="1" s="87">
      <c r="B23" s="155" t="inlineStr">
        <is>
          <t>Steg 5  Finansiärspool (50% av netto)</t>
        </is>
      </c>
      <c r="D23" s="136">
        <f>D21*0.5</f>
        <v/>
      </c>
      <c r="E23" s="136">
        <f>E21*0.5</f>
        <v/>
      </c>
      <c r="F23" s="136">
        <f>F21*0.5</f>
        <v/>
      </c>
    </row>
    <row r="24" ht="21.75" customHeight="1" s="87">
      <c r="B24" s="153" t="inlineStr">
        <is>
          <t>TOTALT DISTRIBUERAT</t>
        </is>
      </c>
      <c r="D24" s="142">
        <f>D22+D23</f>
        <v/>
      </c>
      <c r="E24" s="142">
        <f>E22+E23</f>
        <v/>
      </c>
      <c r="F24" s="142">
        <f>F22+F23</f>
        <v/>
      </c>
    </row>
    <row r="27" ht="18" customHeight="1" s="87">
      <c r="B27" s="115" t="inlineStr">
        <is>
          <t>* Crew-poolen fördelas sedan per person enligt ägarandel (%) från Equity Dashboard. Länk till per-person-utdrag byggs i portal (steg 2).</t>
        </is>
      </c>
    </row>
  </sheetData>
  <mergeCells count="5">
    <mergeCell ref="B6:F6"/>
    <mergeCell ref="B2:F2"/>
    <mergeCell ref="B3:F3"/>
    <mergeCell ref="B14:F14"/>
    <mergeCell ref="B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B2:K2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86" min="1" max="1"/>
    <col width="6" customWidth="1" style="86" min="2" max="2"/>
    <col width="24" customWidth="1" style="86" min="3" max="3"/>
    <col width="14" customWidth="1" style="86" min="4" max="4"/>
    <col width="10" customWidth="1" style="86" min="5" max="6"/>
    <col width="14" customWidth="1" style="86" min="7" max="10"/>
    <col width="18" customWidth="1" style="86" min="11" max="11"/>
  </cols>
  <sheetData>
    <row r="1" ht="7.5" customHeight="1" s="87"/>
    <row r="2" ht="24" customHeight="1" s="87">
      <c r="B2" s="156">
        <f>Projektinställningar!C5</f>
        <v/>
      </c>
    </row>
    <row r="3" ht="18" customHeight="1" s="87">
      <c r="B3" s="157" t="inlineStr">
        <is>
          <t>Ägarandelsutdrag — Samägande filmproduktion</t>
        </is>
      </c>
    </row>
    <row r="4" ht="6" customHeight="1" s="87">
      <c r="B4" s="90" t="n"/>
      <c r="C4" s="90" t="n"/>
      <c r="D4" s="90" t="n"/>
      <c r="E4" s="90" t="n"/>
      <c r="F4" s="90" t="n"/>
      <c r="G4" s="90" t="n"/>
      <c r="H4" s="90" t="n"/>
      <c r="I4" s="90" t="n"/>
      <c r="J4" s="90" t="n"/>
      <c r="K4" s="90" t="n"/>
    </row>
    <row r="5" ht="9.75" customHeight="1" s="87"/>
    <row r="6" ht="27.75" customHeight="1" s="87">
      <c r="B6" s="88" t="inlineStr">
        <is>
          <t>Anna Lindström</t>
        </is>
      </c>
    </row>
    <row r="7" ht="18" customHeight="1" s="87">
      <c r="B7" s="158" t="inlineStr">
        <is>
          <t>Regissör</t>
        </is>
      </c>
    </row>
    <row r="8" ht="7.5" customHeight="1" s="87"/>
    <row r="9" ht="18" customHeight="1" s="87">
      <c r="B9" s="159" t="inlineStr">
        <is>
          <t>TOTALT DEFERRED (SEK)</t>
        </is>
      </c>
      <c r="C9" s="99" t="n"/>
      <c r="D9" s="100" t="n"/>
      <c r="E9" s="159" t="inlineStr">
        <is>
          <t>TOTALA POÄNG</t>
        </is>
      </c>
      <c r="F9" s="99" t="n"/>
      <c r="G9" s="100" t="n"/>
      <c r="H9" s="159" t="inlineStr">
        <is>
          <t>ÄGARANDEL</t>
        </is>
      </c>
      <c r="I9" s="99" t="n"/>
      <c r="J9" s="100" t="n"/>
    </row>
    <row r="10" ht="31.5" customHeight="1" s="87">
      <c r="B10" s="160">
        <f>'Equity Dashboard'!D7</f>
        <v/>
      </c>
      <c r="C10" s="99" t="n"/>
      <c r="D10" s="100" t="n"/>
      <c r="E10" s="161">
        <f>'Equity Dashboard'!E7</f>
        <v/>
      </c>
      <c r="F10" s="99" t="n"/>
      <c r="G10" s="100" t="n"/>
      <c r="H10" s="162">
        <f>'Equity Dashboard'!F7</f>
        <v/>
      </c>
      <c r="I10" s="99" t="n"/>
      <c r="J10" s="100" t="n"/>
    </row>
    <row r="11" ht="12" customHeight="1" s="87"/>
    <row r="12" ht="19.5" customHeight="1" s="87">
      <c r="B12" s="159" t="inlineStr">
        <is>
          <t>POÄNGHISTORIK PER FAS</t>
        </is>
      </c>
      <c r="C12" s="99" t="n"/>
      <c r="D12" s="99" t="n"/>
      <c r="E12" s="99" t="n"/>
      <c r="F12" s="99" t="n"/>
      <c r="G12" s="99" t="n"/>
      <c r="H12" s="99" t="n"/>
      <c r="I12" s="99" t="n"/>
      <c r="J12" s="99" t="n"/>
      <c r="K12" s="100" t="n"/>
    </row>
    <row r="13" ht="30" customHeight="1" s="87">
      <c r="B13" s="145" t="inlineStr">
        <is>
          <t>Fas</t>
        </is>
      </c>
      <c r="C13" s="145" t="inlineStr">
        <is>
          <t>Benämning</t>
        </is>
      </c>
      <c r="D13" s="145" t="inlineStr">
        <is>
          <t>Dagar</t>
        </is>
      </c>
      <c r="E13" s="145" t="inlineStr">
        <is>
          <t>Cash Fee/dag</t>
        </is>
      </c>
      <c r="F13" s="145" t="inlineStr">
        <is>
          <t>Markn.pris/dag</t>
        </is>
      </c>
      <c r="G13" s="145" t="inlineStr">
        <is>
          <t>Deferred (SEK)</t>
        </is>
      </c>
      <c r="H13" s="145" t="inlineStr">
        <is>
          <t>Grundp./dag</t>
        </is>
      </c>
      <c r="I13" s="145" t="inlineStr">
        <is>
          <t>Klassmult.</t>
        </is>
      </c>
      <c r="J13" s="145" t="inlineStr">
        <is>
          <t>Poäng</t>
        </is>
      </c>
      <c r="K13" s="145" t="inlineStr">
        <is>
          <t>Andel av egna</t>
        </is>
      </c>
    </row>
    <row r="14" ht="19.5" customHeight="1" s="87">
      <c r="B14" s="106" t="inlineStr">
        <is>
          <t>F1</t>
        </is>
      </c>
      <c r="C14" s="163">
        <f>Projektinställningar!C24</f>
        <v/>
      </c>
      <c r="D14" s="164">
        <f>SUMIFS('Egeninsats &amp; Poäng'!G:G,'Egeninsats &amp; Poäng'!C:C,"Anna Lindström",'Egeninsats &amp; Poäng'!F:F,"F1")</f>
        <v/>
      </c>
      <c r="E14" s="164">
        <f>IFERROR(SUMIFS('Egeninsats &amp; Poäng'!H:H,'Egeninsats &amp; Poäng'!C:C,"Anna Lindström",'Egeninsats &amp; Poäng'!F:F,"F1")/SUMIFS('Egeninsats &amp; Poäng'!G:G,'Egeninsats &amp; Poäng'!C:C,"Anna Lindström",'Egeninsats &amp; Poäng'!F:F,"F1"),"")</f>
        <v/>
      </c>
      <c r="F14" s="164">
        <f>IFERROR(SUMIFS('Egeninsats &amp; Poäng'!I:I,'Egeninsats &amp; Poäng'!C:C,"Anna Lindström",'Egeninsats &amp; Poäng'!F:F,"F1")/SUMIFS('Egeninsats &amp; Poäng'!G:G,'Egeninsats &amp; Poäng'!C:C,"Anna Lindström",'Egeninsats &amp; Poäng'!F:F,"F1"),"")</f>
        <v/>
      </c>
      <c r="G14" s="164">
        <f>SUMIFS('Egeninsats &amp; Poäng'!J:J,'Egeninsats &amp; Poäng'!C:C,"Anna Lindström",'Egeninsats &amp; Poäng'!F:F,"F1")</f>
        <v/>
      </c>
      <c r="H14" s="165">
        <f>IFERROR(SUMIFS('Egeninsats &amp; Poäng'!K:K,'Egeninsats &amp; Poäng'!C:C,"Anna Lindström",'Egeninsats &amp; Poäng'!F:F,"F1")/SUMIFS('Egeninsats &amp; Poäng'!G:G,'Egeninsats &amp; Poäng'!C:C,"Anna Lindström",'Egeninsats &amp; Poäng'!F:F,"F1"),"")</f>
        <v/>
      </c>
      <c r="I14" s="166">
        <f>IFERROR(SUMIFS('Egeninsats &amp; Poäng'!L:L,'Egeninsats &amp; Poäng'!C:C,"Anna Lindström",'Egeninsats &amp; Poäng'!F:F,"F1")/SUMIFS('Egeninsats &amp; Poäng'!G:G,'Egeninsats &amp; Poäng'!C:C,"Anna Lindström",'Egeninsats &amp; Poäng'!F:F,"F1"),"")</f>
        <v/>
      </c>
      <c r="J14" s="131">
        <f>SUMIFS('Egeninsats &amp; Poäng'!M:M,'Egeninsats &amp; Poäng'!C:C,"Anna Lindström",'Egeninsats &amp; Poäng'!F:F,"F1")</f>
        <v/>
      </c>
      <c r="K14" s="167">
        <f>IFERROR(J14/'Equity Dashboard'!E7,"")</f>
        <v/>
      </c>
    </row>
    <row r="15" ht="19.5" customHeight="1" s="87">
      <c r="B15" s="111" t="inlineStr">
        <is>
          <t>F2</t>
        </is>
      </c>
      <c r="C15" s="168">
        <f>Projektinställningar!C25</f>
        <v/>
      </c>
      <c r="D15" s="169">
        <f>SUMIFS('Egeninsats &amp; Poäng'!G:G,'Egeninsats &amp; Poäng'!C:C,"Anna Lindström",'Egeninsats &amp; Poäng'!F:F,"F2")</f>
        <v/>
      </c>
      <c r="E15" s="169">
        <f>IFERROR(SUMIFS('Egeninsats &amp; Poäng'!H:H,'Egeninsats &amp; Poäng'!C:C,"Anna Lindström",'Egeninsats &amp; Poäng'!F:F,"F2")/SUMIFS('Egeninsats &amp; Poäng'!G:G,'Egeninsats &amp; Poäng'!C:C,"Anna Lindström",'Egeninsats &amp; Poäng'!F:F,"F2"),"")</f>
        <v/>
      </c>
      <c r="F15" s="169">
        <f>IFERROR(SUMIFS('Egeninsats &amp; Poäng'!I:I,'Egeninsats &amp; Poäng'!C:C,"Anna Lindström",'Egeninsats &amp; Poäng'!F:F,"F2")/SUMIFS('Egeninsats &amp; Poäng'!G:G,'Egeninsats &amp; Poäng'!C:C,"Anna Lindström",'Egeninsats &amp; Poäng'!F:F,"F2"),"")</f>
        <v/>
      </c>
      <c r="G15" s="169">
        <f>SUMIFS('Egeninsats &amp; Poäng'!J:J,'Egeninsats &amp; Poäng'!C:C,"Anna Lindström",'Egeninsats &amp; Poäng'!F:F,"F2")</f>
        <v/>
      </c>
      <c r="H15" s="170">
        <f>IFERROR(SUMIFS('Egeninsats &amp; Poäng'!K:K,'Egeninsats &amp; Poäng'!C:C,"Anna Lindström",'Egeninsats &amp; Poäng'!F:F,"F2")/SUMIFS('Egeninsats &amp; Poäng'!G:G,'Egeninsats &amp; Poäng'!C:C,"Anna Lindström",'Egeninsats &amp; Poäng'!F:F,"F2"),"")</f>
        <v/>
      </c>
      <c r="I15" s="171">
        <f>IFERROR(SUMIFS('Egeninsats &amp; Poäng'!L:L,'Egeninsats &amp; Poäng'!C:C,"Anna Lindström",'Egeninsats &amp; Poäng'!F:F,"F2")/SUMIFS('Egeninsats &amp; Poäng'!G:G,'Egeninsats &amp; Poäng'!C:C,"Anna Lindström",'Egeninsats &amp; Poäng'!F:F,"F2"),"")</f>
        <v/>
      </c>
      <c r="J15" s="172">
        <f>SUMIFS('Egeninsats &amp; Poäng'!M:M,'Egeninsats &amp; Poäng'!C:C,"Anna Lindström",'Egeninsats &amp; Poäng'!F:F,"F2")</f>
        <v/>
      </c>
      <c r="K15" s="173">
        <f>IFERROR(J15/'Equity Dashboard'!E7,"")</f>
        <v/>
      </c>
    </row>
    <row r="16" ht="19.5" customHeight="1" s="87">
      <c r="B16" s="106" t="inlineStr">
        <is>
          <t>F3</t>
        </is>
      </c>
      <c r="C16" s="163">
        <f>Projektinställningar!C26</f>
        <v/>
      </c>
      <c r="D16" s="164">
        <f>SUMIFS('Egeninsats &amp; Poäng'!G:G,'Egeninsats &amp; Poäng'!C:C,"Anna Lindström",'Egeninsats &amp; Poäng'!F:F,"F3")</f>
        <v/>
      </c>
      <c r="E16" s="164">
        <f>IFERROR(SUMIFS('Egeninsats &amp; Poäng'!H:H,'Egeninsats &amp; Poäng'!C:C,"Anna Lindström",'Egeninsats &amp; Poäng'!F:F,"F3")/SUMIFS('Egeninsats &amp; Poäng'!G:G,'Egeninsats &amp; Poäng'!C:C,"Anna Lindström",'Egeninsats &amp; Poäng'!F:F,"F3"),"")</f>
        <v/>
      </c>
      <c r="F16" s="164">
        <f>IFERROR(SUMIFS('Egeninsats &amp; Poäng'!I:I,'Egeninsats &amp; Poäng'!C:C,"Anna Lindström",'Egeninsats &amp; Poäng'!F:F,"F3")/SUMIFS('Egeninsats &amp; Poäng'!G:G,'Egeninsats &amp; Poäng'!C:C,"Anna Lindström",'Egeninsats &amp; Poäng'!F:F,"F3"),"")</f>
        <v/>
      </c>
      <c r="G16" s="164">
        <f>SUMIFS('Egeninsats &amp; Poäng'!J:J,'Egeninsats &amp; Poäng'!C:C,"Anna Lindström",'Egeninsats &amp; Poäng'!F:F,"F3")</f>
        <v/>
      </c>
      <c r="H16" s="165">
        <f>IFERROR(SUMIFS('Egeninsats &amp; Poäng'!K:K,'Egeninsats &amp; Poäng'!C:C,"Anna Lindström",'Egeninsats &amp; Poäng'!F:F,"F3")/SUMIFS('Egeninsats &amp; Poäng'!G:G,'Egeninsats &amp; Poäng'!C:C,"Anna Lindström",'Egeninsats &amp; Poäng'!F:F,"F3"),"")</f>
        <v/>
      </c>
      <c r="I16" s="166">
        <f>IFERROR(SUMIFS('Egeninsats &amp; Poäng'!L:L,'Egeninsats &amp; Poäng'!C:C,"Anna Lindström",'Egeninsats &amp; Poäng'!F:F,"F3")/SUMIFS('Egeninsats &amp; Poäng'!G:G,'Egeninsats &amp; Poäng'!C:C,"Anna Lindström",'Egeninsats &amp; Poäng'!F:F,"F3"),"")</f>
        <v/>
      </c>
      <c r="J16" s="131">
        <f>SUMIFS('Egeninsats &amp; Poäng'!M:M,'Egeninsats &amp; Poäng'!C:C,"Anna Lindström",'Egeninsats &amp; Poäng'!F:F,"F3")</f>
        <v/>
      </c>
      <c r="K16" s="167">
        <f>IFERROR(J16/'Equity Dashboard'!E7,"")</f>
        <v/>
      </c>
    </row>
    <row r="17" ht="19.5" customHeight="1" s="87">
      <c r="B17" s="111" t="inlineStr">
        <is>
          <t>F4</t>
        </is>
      </c>
      <c r="C17" s="168">
        <f>Projektinställningar!C27</f>
        <v/>
      </c>
      <c r="D17" s="169">
        <f>SUMIFS('Egeninsats &amp; Poäng'!G:G,'Egeninsats &amp; Poäng'!C:C,"Anna Lindström",'Egeninsats &amp; Poäng'!F:F,"F4")</f>
        <v/>
      </c>
      <c r="E17" s="169">
        <f>IFERROR(SUMIFS('Egeninsats &amp; Poäng'!H:H,'Egeninsats &amp; Poäng'!C:C,"Anna Lindström",'Egeninsats &amp; Poäng'!F:F,"F4")/SUMIFS('Egeninsats &amp; Poäng'!G:G,'Egeninsats &amp; Poäng'!C:C,"Anna Lindström",'Egeninsats &amp; Poäng'!F:F,"F4"),"")</f>
        <v/>
      </c>
      <c r="F17" s="169">
        <f>IFERROR(SUMIFS('Egeninsats &amp; Poäng'!I:I,'Egeninsats &amp; Poäng'!C:C,"Anna Lindström",'Egeninsats &amp; Poäng'!F:F,"F4")/SUMIFS('Egeninsats &amp; Poäng'!G:G,'Egeninsats &amp; Poäng'!C:C,"Anna Lindström",'Egeninsats &amp; Poäng'!F:F,"F4"),"")</f>
        <v/>
      </c>
      <c r="G17" s="169">
        <f>SUMIFS('Egeninsats &amp; Poäng'!J:J,'Egeninsats &amp; Poäng'!C:C,"Anna Lindström",'Egeninsats &amp; Poäng'!F:F,"F4")</f>
        <v/>
      </c>
      <c r="H17" s="170">
        <f>IFERROR(SUMIFS('Egeninsats &amp; Poäng'!K:K,'Egeninsats &amp; Poäng'!C:C,"Anna Lindström",'Egeninsats &amp; Poäng'!F:F,"F4")/SUMIFS('Egeninsats &amp; Poäng'!G:G,'Egeninsats &amp; Poäng'!C:C,"Anna Lindström",'Egeninsats &amp; Poäng'!F:F,"F4"),"")</f>
        <v/>
      </c>
      <c r="I17" s="171">
        <f>IFERROR(SUMIFS('Egeninsats &amp; Poäng'!L:L,'Egeninsats &amp; Poäng'!C:C,"Anna Lindström",'Egeninsats &amp; Poäng'!F:F,"F4")/SUMIFS('Egeninsats &amp; Poäng'!G:G,'Egeninsats &amp; Poäng'!C:C,"Anna Lindström",'Egeninsats &amp; Poäng'!F:F,"F4"),"")</f>
        <v/>
      </c>
      <c r="J17" s="172">
        <f>SUMIFS('Egeninsats &amp; Poäng'!M:M,'Egeninsats &amp; Poäng'!C:C,"Anna Lindström",'Egeninsats &amp; Poäng'!F:F,"F4")</f>
        <v/>
      </c>
      <c r="K17" s="173">
        <f>IFERROR(J17/'Equity Dashboard'!E7,"")</f>
        <v/>
      </c>
    </row>
    <row r="18" ht="19.5" customHeight="1" s="87">
      <c r="B18" s="106" t="inlineStr">
        <is>
          <t>F5</t>
        </is>
      </c>
      <c r="C18" s="163">
        <f>Projektinställningar!C28</f>
        <v/>
      </c>
      <c r="D18" s="164">
        <f>SUMIFS('Egeninsats &amp; Poäng'!G:G,'Egeninsats &amp; Poäng'!C:C,"Anna Lindström",'Egeninsats &amp; Poäng'!F:F,"F5")</f>
        <v/>
      </c>
      <c r="E18" s="164">
        <f>IFERROR(SUMIFS('Egeninsats &amp; Poäng'!H:H,'Egeninsats &amp; Poäng'!C:C,"Anna Lindström",'Egeninsats &amp; Poäng'!F:F,"F5")/SUMIFS('Egeninsats &amp; Poäng'!G:G,'Egeninsats &amp; Poäng'!C:C,"Anna Lindström",'Egeninsats &amp; Poäng'!F:F,"F5"),"")</f>
        <v/>
      </c>
      <c r="F18" s="164">
        <f>IFERROR(SUMIFS('Egeninsats &amp; Poäng'!I:I,'Egeninsats &amp; Poäng'!C:C,"Anna Lindström",'Egeninsats &amp; Poäng'!F:F,"F5")/SUMIFS('Egeninsats &amp; Poäng'!G:G,'Egeninsats &amp; Poäng'!C:C,"Anna Lindström",'Egeninsats &amp; Poäng'!F:F,"F5"),"")</f>
        <v/>
      </c>
      <c r="G18" s="164">
        <f>SUMIFS('Egeninsats &amp; Poäng'!J:J,'Egeninsats &amp; Poäng'!C:C,"Anna Lindström",'Egeninsats &amp; Poäng'!F:F,"F5")</f>
        <v/>
      </c>
      <c r="H18" s="165">
        <f>IFERROR(SUMIFS('Egeninsats &amp; Poäng'!K:K,'Egeninsats &amp; Poäng'!C:C,"Anna Lindström",'Egeninsats &amp; Poäng'!F:F,"F5")/SUMIFS('Egeninsats &amp; Poäng'!G:G,'Egeninsats &amp; Poäng'!C:C,"Anna Lindström",'Egeninsats &amp; Poäng'!F:F,"F5"),"")</f>
        <v/>
      </c>
      <c r="I18" s="166">
        <f>IFERROR(SUMIFS('Egeninsats &amp; Poäng'!L:L,'Egeninsats &amp; Poäng'!C:C,"Anna Lindström",'Egeninsats &amp; Poäng'!F:F,"F5")/SUMIFS('Egeninsats &amp; Poäng'!G:G,'Egeninsats &amp; Poäng'!C:C,"Anna Lindström",'Egeninsats &amp; Poäng'!F:F,"F5"),"")</f>
        <v/>
      </c>
      <c r="J18" s="131">
        <f>SUMIFS('Egeninsats &amp; Poäng'!M:M,'Egeninsats &amp; Poäng'!C:C,"Anna Lindström",'Egeninsats &amp; Poäng'!F:F,"F5")</f>
        <v/>
      </c>
      <c r="K18" s="167">
        <f>IFERROR(J18/'Equity Dashboard'!E7,"")</f>
        <v/>
      </c>
    </row>
    <row r="19" ht="19.5" customHeight="1" s="87">
      <c r="B19" s="111" t="inlineStr">
        <is>
          <t>F6</t>
        </is>
      </c>
      <c r="C19" s="168">
        <f>Projektinställningar!C29</f>
        <v/>
      </c>
      <c r="D19" s="169">
        <f>SUMIFS('Egeninsats &amp; Poäng'!G:G,'Egeninsats &amp; Poäng'!C:C,"Anna Lindström",'Egeninsats &amp; Poäng'!F:F,"F6")</f>
        <v/>
      </c>
      <c r="E19" s="169">
        <f>IFERROR(SUMIFS('Egeninsats &amp; Poäng'!H:H,'Egeninsats &amp; Poäng'!C:C,"Anna Lindström",'Egeninsats &amp; Poäng'!F:F,"F6")/SUMIFS('Egeninsats &amp; Poäng'!G:G,'Egeninsats &amp; Poäng'!C:C,"Anna Lindström",'Egeninsats &amp; Poäng'!F:F,"F6"),"")</f>
        <v/>
      </c>
      <c r="F19" s="169">
        <f>IFERROR(SUMIFS('Egeninsats &amp; Poäng'!I:I,'Egeninsats &amp; Poäng'!C:C,"Anna Lindström",'Egeninsats &amp; Poäng'!F:F,"F6")/SUMIFS('Egeninsats &amp; Poäng'!G:G,'Egeninsats &amp; Poäng'!C:C,"Anna Lindström",'Egeninsats &amp; Poäng'!F:F,"F6"),"")</f>
        <v/>
      </c>
      <c r="G19" s="169">
        <f>SUMIFS('Egeninsats &amp; Poäng'!J:J,'Egeninsats &amp; Poäng'!C:C,"Anna Lindström",'Egeninsats &amp; Poäng'!F:F,"F6")</f>
        <v/>
      </c>
      <c r="H19" s="170">
        <f>IFERROR(SUMIFS('Egeninsats &amp; Poäng'!K:K,'Egeninsats &amp; Poäng'!C:C,"Anna Lindström",'Egeninsats &amp; Poäng'!F:F,"F6")/SUMIFS('Egeninsats &amp; Poäng'!G:G,'Egeninsats &amp; Poäng'!C:C,"Anna Lindström",'Egeninsats &amp; Poäng'!F:F,"F6"),"")</f>
        <v/>
      </c>
      <c r="I19" s="171">
        <f>IFERROR(SUMIFS('Egeninsats &amp; Poäng'!L:L,'Egeninsats &amp; Poäng'!C:C,"Anna Lindström",'Egeninsats &amp; Poäng'!F:F,"F6")/SUMIFS('Egeninsats &amp; Poäng'!G:G,'Egeninsats &amp; Poäng'!C:C,"Anna Lindström",'Egeninsats &amp; Poäng'!F:F,"F6"),"")</f>
        <v/>
      </c>
      <c r="J19" s="172">
        <f>SUMIFS('Egeninsats &amp; Poäng'!M:M,'Egeninsats &amp; Poäng'!C:C,"Anna Lindström",'Egeninsats &amp; Poäng'!F:F,"F6")</f>
        <v/>
      </c>
      <c r="K19" s="173">
        <f>IFERROR(J19/'Equity Dashboard'!E7,"")</f>
        <v/>
      </c>
    </row>
    <row r="20" ht="19.5" customHeight="1" s="87">
      <c r="B20" s="106" t="inlineStr">
        <is>
          <t>F7</t>
        </is>
      </c>
      <c r="C20" s="163">
        <f>Projektinställningar!C30</f>
        <v/>
      </c>
      <c r="D20" s="164">
        <f>SUMIFS('Egeninsats &amp; Poäng'!G:G,'Egeninsats &amp; Poäng'!C:C,"Anna Lindström",'Egeninsats &amp; Poäng'!F:F,"F7")</f>
        <v/>
      </c>
      <c r="E20" s="164">
        <f>IFERROR(SUMIFS('Egeninsats &amp; Poäng'!H:H,'Egeninsats &amp; Poäng'!C:C,"Anna Lindström",'Egeninsats &amp; Poäng'!F:F,"F7")/SUMIFS('Egeninsats &amp; Poäng'!G:G,'Egeninsats &amp; Poäng'!C:C,"Anna Lindström",'Egeninsats &amp; Poäng'!F:F,"F7"),"")</f>
        <v/>
      </c>
      <c r="F20" s="164">
        <f>IFERROR(SUMIFS('Egeninsats &amp; Poäng'!I:I,'Egeninsats &amp; Poäng'!C:C,"Anna Lindström",'Egeninsats &amp; Poäng'!F:F,"F7")/SUMIFS('Egeninsats &amp; Poäng'!G:G,'Egeninsats &amp; Poäng'!C:C,"Anna Lindström",'Egeninsats &amp; Poäng'!F:F,"F7"),"")</f>
        <v/>
      </c>
      <c r="G20" s="164">
        <f>SUMIFS('Egeninsats &amp; Poäng'!J:J,'Egeninsats &amp; Poäng'!C:C,"Anna Lindström",'Egeninsats &amp; Poäng'!F:F,"F7")</f>
        <v/>
      </c>
      <c r="H20" s="165">
        <f>IFERROR(SUMIFS('Egeninsats &amp; Poäng'!K:K,'Egeninsats &amp; Poäng'!C:C,"Anna Lindström",'Egeninsats &amp; Poäng'!F:F,"F7")/SUMIFS('Egeninsats &amp; Poäng'!G:G,'Egeninsats &amp; Poäng'!C:C,"Anna Lindström",'Egeninsats &amp; Poäng'!F:F,"F7"),"")</f>
        <v/>
      </c>
      <c r="I20" s="166">
        <f>IFERROR(SUMIFS('Egeninsats &amp; Poäng'!L:L,'Egeninsats &amp; Poäng'!C:C,"Anna Lindström",'Egeninsats &amp; Poäng'!F:F,"F7")/SUMIFS('Egeninsats &amp; Poäng'!G:G,'Egeninsats &amp; Poäng'!C:C,"Anna Lindström",'Egeninsats &amp; Poäng'!F:F,"F7"),"")</f>
        <v/>
      </c>
      <c r="J20" s="131">
        <f>SUMIFS('Egeninsats &amp; Poäng'!M:M,'Egeninsats &amp; Poäng'!C:C,"Anna Lindström",'Egeninsats &amp; Poäng'!F:F,"F7")</f>
        <v/>
      </c>
      <c r="K20" s="167">
        <f>IFERROR(J20/'Equity Dashboard'!E7,"")</f>
        <v/>
      </c>
    </row>
    <row r="21" ht="19.5" customHeight="1" s="87">
      <c r="B21" s="111" t="inlineStr">
        <is>
          <t>F8</t>
        </is>
      </c>
      <c r="C21" s="168">
        <f>Projektinställningar!C31</f>
        <v/>
      </c>
      <c r="D21" s="169">
        <f>SUMIFS('Egeninsats &amp; Poäng'!G:G,'Egeninsats &amp; Poäng'!C:C,"Anna Lindström",'Egeninsats &amp; Poäng'!F:F,"F8")</f>
        <v/>
      </c>
      <c r="E21" s="169">
        <f>IFERROR(SUMIFS('Egeninsats &amp; Poäng'!H:H,'Egeninsats &amp; Poäng'!C:C,"Anna Lindström",'Egeninsats &amp; Poäng'!F:F,"F8")/SUMIFS('Egeninsats &amp; Poäng'!G:G,'Egeninsats &amp; Poäng'!C:C,"Anna Lindström",'Egeninsats &amp; Poäng'!F:F,"F8"),"")</f>
        <v/>
      </c>
      <c r="F21" s="169">
        <f>IFERROR(SUMIFS('Egeninsats &amp; Poäng'!I:I,'Egeninsats &amp; Poäng'!C:C,"Anna Lindström",'Egeninsats &amp; Poäng'!F:F,"F8")/SUMIFS('Egeninsats &amp; Poäng'!G:G,'Egeninsats &amp; Poäng'!C:C,"Anna Lindström",'Egeninsats &amp; Poäng'!F:F,"F8"),"")</f>
        <v/>
      </c>
      <c r="G21" s="169">
        <f>SUMIFS('Egeninsats &amp; Poäng'!J:J,'Egeninsats &amp; Poäng'!C:C,"Anna Lindström",'Egeninsats &amp; Poäng'!F:F,"F8")</f>
        <v/>
      </c>
      <c r="H21" s="170">
        <f>IFERROR(SUMIFS('Egeninsats &amp; Poäng'!K:K,'Egeninsats &amp; Poäng'!C:C,"Anna Lindström",'Egeninsats &amp; Poäng'!F:F,"F8")/SUMIFS('Egeninsats &amp; Poäng'!G:G,'Egeninsats &amp; Poäng'!C:C,"Anna Lindström",'Egeninsats &amp; Poäng'!F:F,"F8"),"")</f>
        <v/>
      </c>
      <c r="I21" s="171">
        <f>IFERROR(SUMIFS('Egeninsats &amp; Poäng'!L:L,'Egeninsats &amp; Poäng'!C:C,"Anna Lindström",'Egeninsats &amp; Poäng'!F:F,"F8")/SUMIFS('Egeninsats &amp; Poäng'!G:G,'Egeninsats &amp; Poäng'!C:C,"Anna Lindström",'Egeninsats &amp; Poäng'!F:F,"F8"),"")</f>
        <v/>
      </c>
      <c r="J21" s="172">
        <f>SUMIFS('Egeninsats &amp; Poäng'!M:M,'Egeninsats &amp; Poäng'!C:C,"Anna Lindström",'Egeninsats &amp; Poäng'!F:F,"F8")</f>
        <v/>
      </c>
      <c r="K21" s="173">
        <f>IFERROR(J21/'Equity Dashboard'!E7,"")</f>
        <v/>
      </c>
    </row>
    <row r="22" ht="21.75" customHeight="1" s="87">
      <c r="B22" s="174" t="inlineStr">
        <is>
          <t>TOTALT</t>
        </is>
      </c>
      <c r="C22" s="100" t="n"/>
      <c r="D22" s="175">
        <f>SUM(D14:D21)</f>
        <v/>
      </c>
      <c r="E22" s="176" t="n"/>
      <c r="F22" s="176" t="n"/>
      <c r="G22" s="175">
        <f>SUM(G14:G21)</f>
        <v/>
      </c>
      <c r="H22" s="176" t="n"/>
      <c r="I22" s="176" t="n"/>
      <c r="J22" s="177">
        <f>SUM(J14:J21)</f>
        <v/>
      </c>
      <c r="K22" s="176" t="n"/>
    </row>
    <row r="23" ht="12" customHeight="1" s="87"/>
    <row r="24" ht="19.5" customHeight="1" s="87">
      <c r="B24" s="159" t="inlineStr">
        <is>
          <t>DIN ANDEL I RECOUPMENT-VATTENFALLET</t>
        </is>
      </c>
      <c r="C24" s="99" t="n"/>
      <c r="D24" s="99" t="n"/>
      <c r="E24" s="99" t="n"/>
      <c r="F24" s="99" t="n"/>
      <c r="G24" s="99" t="n"/>
      <c r="H24" s="99" t="n"/>
      <c r="I24" s="99" t="n"/>
      <c r="J24" s="99" t="n"/>
      <c r="K24" s="100" t="n"/>
    </row>
    <row r="25" ht="27.75" customHeight="1" s="87">
      <c r="B25" s="178" t="inlineStr">
        <is>
          <t>Din ägarandel (%) multipliceras med Crew-poolen (50% av netto efter distribution, finansiär och deferred fees).</t>
        </is>
      </c>
    </row>
    <row r="26" ht="30" customHeight="1" s="87">
      <c r="B26" s="151" t="inlineStr">
        <is>
          <t>Scenario A
(Litet utfall)</t>
        </is>
      </c>
      <c r="C26" s="99" t="n"/>
      <c r="D26" s="100" t="n"/>
      <c r="E26" s="151" t="inlineStr">
        <is>
          <t>Scenario B
(Mellant)</t>
        </is>
      </c>
      <c r="F26" s="99" t="n"/>
      <c r="G26" s="100" t="n"/>
      <c r="H26" s="151" t="inlineStr">
        <is>
          <t>Scenario C
(Stort utfall)</t>
        </is>
      </c>
      <c r="I26" s="99" t="n"/>
      <c r="J26" s="100" t="n"/>
    </row>
    <row r="27" ht="19.5" customHeight="1" s="87">
      <c r="B27" s="179" t="inlineStr">
        <is>
          <t>Crew-pool:</t>
        </is>
      </c>
      <c r="C27" s="99" t="n"/>
      <c r="D27" s="100" t="n"/>
      <c r="E27" s="179" t="inlineStr">
        <is>
          <t>Crew-pool:</t>
        </is>
      </c>
      <c r="F27" s="99" t="n"/>
      <c r="G27" s="100" t="n"/>
      <c r="H27" s="179" t="inlineStr">
        <is>
          <t>Crew-pool:</t>
        </is>
      </c>
      <c r="I27" s="99" t="n"/>
      <c r="J27" s="100" t="n"/>
    </row>
    <row r="28" ht="36" customHeight="1" s="87">
      <c r="B28" s="179">
        <f>'Waterfall Simulering'!D22</f>
        <v/>
      </c>
      <c r="C28" s="99" t="n"/>
      <c r="D28" s="100" t="n"/>
      <c r="E28" s="179">
        <f>'Waterfall Simulering'!E22</f>
        <v/>
      </c>
      <c r="F28" s="99" t="n"/>
      <c r="G28" s="100" t="n"/>
      <c r="H28" s="179">
        <f>'Waterfall Simulering'!F22</f>
        <v/>
      </c>
      <c r="I28" s="99" t="n"/>
      <c r="J28" s="100" t="n"/>
    </row>
    <row r="29" ht="12" customHeight="1" s="87">
      <c r="B29" s="180">
        <f>'Equity Dashboard'!F7*'Waterfall Simulering'!D22</f>
        <v/>
      </c>
      <c r="E29" s="180">
        <f>'Equity Dashboard'!F7*'Waterfall Simulering'!E22</f>
        <v/>
      </c>
      <c r="H29" s="180">
        <f>'Equity Dashboard'!F7*'Waterfall Simulering'!F22</f>
        <v/>
      </c>
    </row>
    <row r="30" ht="15.75" customHeight="1" s="87">
      <c r="B30" s="181" t="inlineStr">
        <is>
          <t>Detta utdrag är konfidentiellt och avsett enbart för mottagaren. Utfärdat av producenten.</t>
        </is>
      </c>
    </row>
    <row r="33" ht="4.5" customHeight="1" s="87"/>
    <row r="34" ht="7.5" customHeight="1" s="87"/>
    <row r="35" ht="24" customHeight="1" s="87">
      <c r="B35" s="156">
        <f>Projektinställningar!C5</f>
        <v/>
      </c>
    </row>
    <row r="36" ht="18" customHeight="1" s="87">
      <c r="B36" s="157" t="inlineStr">
        <is>
          <t>Ägarandelsutdrag — Samägande filmproduktion</t>
        </is>
      </c>
    </row>
    <row r="37" ht="6" customHeight="1" s="87"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</row>
    <row r="38" ht="9.75" customHeight="1" s="87"/>
    <row r="39" ht="27.75" customHeight="1" s="87">
      <c r="B39" s="88" t="inlineStr">
        <is>
          <t>Per Gustafsson</t>
        </is>
      </c>
    </row>
    <row r="40" ht="18" customHeight="1" s="87">
      <c r="B40" s="158" t="inlineStr">
        <is>
          <t>Producent</t>
        </is>
      </c>
    </row>
    <row r="41" ht="7.5" customHeight="1" s="87"/>
    <row r="42" ht="18" customHeight="1" s="87">
      <c r="B42" s="159" t="inlineStr">
        <is>
          <t>TOTALT DEFERRED (SEK)</t>
        </is>
      </c>
      <c r="C42" s="99" t="n"/>
      <c r="D42" s="100" t="n"/>
      <c r="E42" s="159" t="inlineStr">
        <is>
          <t>TOTALA POÄNG</t>
        </is>
      </c>
      <c r="F42" s="99" t="n"/>
      <c r="G42" s="100" t="n"/>
      <c r="H42" s="159" t="inlineStr">
        <is>
          <t>ÄGARANDEL</t>
        </is>
      </c>
      <c r="I42" s="99" t="n"/>
      <c r="J42" s="100" t="n"/>
    </row>
    <row r="43" ht="31.5" customHeight="1" s="87">
      <c r="B43" s="160">
        <f>'Equity Dashboard'!D8</f>
        <v/>
      </c>
      <c r="C43" s="99" t="n"/>
      <c r="D43" s="100" t="n"/>
      <c r="E43" s="161">
        <f>'Equity Dashboard'!E8</f>
        <v/>
      </c>
      <c r="F43" s="99" t="n"/>
      <c r="G43" s="100" t="n"/>
      <c r="H43" s="162">
        <f>'Equity Dashboard'!F8</f>
        <v/>
      </c>
      <c r="I43" s="99" t="n"/>
      <c r="J43" s="100" t="n"/>
    </row>
    <row r="44" ht="12" customHeight="1" s="87"/>
    <row r="45" ht="19.5" customHeight="1" s="87">
      <c r="B45" s="159" t="inlineStr">
        <is>
          <t>POÄNGHISTORIK PER FAS</t>
        </is>
      </c>
      <c r="C45" s="99" t="n"/>
      <c r="D45" s="99" t="n"/>
      <c r="E45" s="99" t="n"/>
      <c r="F45" s="99" t="n"/>
      <c r="G45" s="99" t="n"/>
      <c r="H45" s="99" t="n"/>
      <c r="I45" s="99" t="n"/>
      <c r="J45" s="99" t="n"/>
      <c r="K45" s="100" t="n"/>
    </row>
    <row r="46" ht="30" customHeight="1" s="87">
      <c r="B46" s="145" t="inlineStr">
        <is>
          <t>Fas</t>
        </is>
      </c>
      <c r="C46" s="145" t="inlineStr">
        <is>
          <t>Benämning</t>
        </is>
      </c>
      <c r="D46" s="145" t="inlineStr">
        <is>
          <t>Dagar</t>
        </is>
      </c>
      <c r="E46" s="145" t="inlineStr">
        <is>
          <t>Cash Fee/dag</t>
        </is>
      </c>
      <c r="F46" s="145" t="inlineStr">
        <is>
          <t>Markn.pris/dag</t>
        </is>
      </c>
      <c r="G46" s="145" t="inlineStr">
        <is>
          <t>Deferred (SEK)</t>
        </is>
      </c>
      <c r="H46" s="145" t="inlineStr">
        <is>
          <t>Grundp./dag</t>
        </is>
      </c>
      <c r="I46" s="145" t="inlineStr">
        <is>
          <t>Klassmult.</t>
        </is>
      </c>
      <c r="J46" s="145" t="inlineStr">
        <is>
          <t>Poäng</t>
        </is>
      </c>
      <c r="K46" s="145" t="inlineStr">
        <is>
          <t>Andel av egna</t>
        </is>
      </c>
    </row>
    <row r="47" ht="19.5" customHeight="1" s="87">
      <c r="B47" s="106" t="inlineStr">
        <is>
          <t>F1</t>
        </is>
      </c>
      <c r="C47" s="163">
        <f>Projektinställningar!C24</f>
        <v/>
      </c>
      <c r="D47" s="164">
        <f>SUMIFS('Egeninsats &amp; Poäng'!G:G,'Egeninsats &amp; Poäng'!C:C,"Per Gustafsson",'Egeninsats &amp; Poäng'!F:F,"F1")</f>
        <v/>
      </c>
      <c r="E47" s="164">
        <f>IFERROR(SUMIFS('Egeninsats &amp; Poäng'!H:H,'Egeninsats &amp; Poäng'!C:C,"Per Gustafsson",'Egeninsats &amp; Poäng'!F:F,"F1")/SUMIFS('Egeninsats &amp; Poäng'!G:G,'Egeninsats &amp; Poäng'!C:C,"Per Gustafsson",'Egeninsats &amp; Poäng'!F:F,"F1"),"")</f>
        <v/>
      </c>
      <c r="F47" s="164">
        <f>IFERROR(SUMIFS('Egeninsats &amp; Poäng'!I:I,'Egeninsats &amp; Poäng'!C:C,"Per Gustafsson",'Egeninsats &amp; Poäng'!F:F,"F1")/SUMIFS('Egeninsats &amp; Poäng'!G:G,'Egeninsats &amp; Poäng'!C:C,"Per Gustafsson",'Egeninsats &amp; Poäng'!F:F,"F1"),"")</f>
        <v/>
      </c>
      <c r="G47" s="164">
        <f>SUMIFS('Egeninsats &amp; Poäng'!J:J,'Egeninsats &amp; Poäng'!C:C,"Per Gustafsson",'Egeninsats &amp; Poäng'!F:F,"F1")</f>
        <v/>
      </c>
      <c r="H47" s="165">
        <f>IFERROR(SUMIFS('Egeninsats &amp; Poäng'!K:K,'Egeninsats &amp; Poäng'!C:C,"Per Gustafsson",'Egeninsats &amp; Poäng'!F:F,"F1")/SUMIFS('Egeninsats &amp; Poäng'!G:G,'Egeninsats &amp; Poäng'!C:C,"Per Gustafsson",'Egeninsats &amp; Poäng'!F:F,"F1"),"")</f>
        <v/>
      </c>
      <c r="I47" s="166">
        <f>IFERROR(SUMIFS('Egeninsats &amp; Poäng'!L:L,'Egeninsats &amp; Poäng'!C:C,"Per Gustafsson",'Egeninsats &amp; Poäng'!F:F,"F1")/SUMIFS('Egeninsats &amp; Poäng'!G:G,'Egeninsats &amp; Poäng'!C:C,"Per Gustafsson",'Egeninsats &amp; Poäng'!F:F,"F1"),"")</f>
        <v/>
      </c>
      <c r="J47" s="131">
        <f>SUMIFS('Egeninsats &amp; Poäng'!M:M,'Egeninsats &amp; Poäng'!C:C,"Per Gustafsson",'Egeninsats &amp; Poäng'!F:F,"F1")</f>
        <v/>
      </c>
      <c r="K47" s="167">
        <f>IFERROR(J47/'Equity Dashboard'!E8,"")</f>
        <v/>
      </c>
    </row>
    <row r="48" ht="19.5" customHeight="1" s="87">
      <c r="B48" s="111" t="inlineStr">
        <is>
          <t>F2</t>
        </is>
      </c>
      <c r="C48" s="168">
        <f>Projektinställningar!C25</f>
        <v/>
      </c>
      <c r="D48" s="169">
        <f>SUMIFS('Egeninsats &amp; Poäng'!G:G,'Egeninsats &amp; Poäng'!C:C,"Per Gustafsson",'Egeninsats &amp; Poäng'!F:F,"F2")</f>
        <v/>
      </c>
      <c r="E48" s="169">
        <f>IFERROR(SUMIFS('Egeninsats &amp; Poäng'!H:H,'Egeninsats &amp; Poäng'!C:C,"Per Gustafsson",'Egeninsats &amp; Poäng'!F:F,"F2")/SUMIFS('Egeninsats &amp; Poäng'!G:G,'Egeninsats &amp; Poäng'!C:C,"Per Gustafsson",'Egeninsats &amp; Poäng'!F:F,"F2"),"")</f>
        <v/>
      </c>
      <c r="F48" s="169">
        <f>IFERROR(SUMIFS('Egeninsats &amp; Poäng'!I:I,'Egeninsats &amp; Poäng'!C:C,"Per Gustafsson",'Egeninsats &amp; Poäng'!F:F,"F2")/SUMIFS('Egeninsats &amp; Poäng'!G:G,'Egeninsats &amp; Poäng'!C:C,"Per Gustafsson",'Egeninsats &amp; Poäng'!F:F,"F2"),"")</f>
        <v/>
      </c>
      <c r="G48" s="169">
        <f>SUMIFS('Egeninsats &amp; Poäng'!J:J,'Egeninsats &amp; Poäng'!C:C,"Per Gustafsson",'Egeninsats &amp; Poäng'!F:F,"F2")</f>
        <v/>
      </c>
      <c r="H48" s="170">
        <f>IFERROR(SUMIFS('Egeninsats &amp; Poäng'!K:K,'Egeninsats &amp; Poäng'!C:C,"Per Gustafsson",'Egeninsats &amp; Poäng'!F:F,"F2")/SUMIFS('Egeninsats &amp; Poäng'!G:G,'Egeninsats &amp; Poäng'!C:C,"Per Gustafsson",'Egeninsats &amp; Poäng'!F:F,"F2"),"")</f>
        <v/>
      </c>
      <c r="I48" s="171">
        <f>IFERROR(SUMIFS('Egeninsats &amp; Poäng'!L:L,'Egeninsats &amp; Poäng'!C:C,"Per Gustafsson",'Egeninsats &amp; Poäng'!F:F,"F2")/SUMIFS('Egeninsats &amp; Poäng'!G:G,'Egeninsats &amp; Poäng'!C:C,"Per Gustafsson",'Egeninsats &amp; Poäng'!F:F,"F2"),"")</f>
        <v/>
      </c>
      <c r="J48" s="172">
        <f>SUMIFS('Egeninsats &amp; Poäng'!M:M,'Egeninsats &amp; Poäng'!C:C,"Per Gustafsson",'Egeninsats &amp; Poäng'!F:F,"F2")</f>
        <v/>
      </c>
      <c r="K48" s="173">
        <f>IFERROR(J48/'Equity Dashboard'!E8,"")</f>
        <v/>
      </c>
    </row>
    <row r="49" ht="19.5" customHeight="1" s="87">
      <c r="B49" s="106" t="inlineStr">
        <is>
          <t>F3</t>
        </is>
      </c>
      <c r="C49" s="163">
        <f>Projektinställningar!C26</f>
        <v/>
      </c>
      <c r="D49" s="164">
        <f>SUMIFS('Egeninsats &amp; Poäng'!G:G,'Egeninsats &amp; Poäng'!C:C,"Per Gustafsson",'Egeninsats &amp; Poäng'!F:F,"F3")</f>
        <v/>
      </c>
      <c r="E49" s="164">
        <f>IFERROR(SUMIFS('Egeninsats &amp; Poäng'!H:H,'Egeninsats &amp; Poäng'!C:C,"Per Gustafsson",'Egeninsats &amp; Poäng'!F:F,"F3")/SUMIFS('Egeninsats &amp; Poäng'!G:G,'Egeninsats &amp; Poäng'!C:C,"Per Gustafsson",'Egeninsats &amp; Poäng'!F:F,"F3"),"")</f>
        <v/>
      </c>
      <c r="F49" s="164">
        <f>IFERROR(SUMIFS('Egeninsats &amp; Poäng'!I:I,'Egeninsats &amp; Poäng'!C:C,"Per Gustafsson",'Egeninsats &amp; Poäng'!F:F,"F3")/SUMIFS('Egeninsats &amp; Poäng'!G:G,'Egeninsats &amp; Poäng'!C:C,"Per Gustafsson",'Egeninsats &amp; Poäng'!F:F,"F3"),"")</f>
        <v/>
      </c>
      <c r="G49" s="164">
        <f>SUMIFS('Egeninsats &amp; Poäng'!J:J,'Egeninsats &amp; Poäng'!C:C,"Per Gustafsson",'Egeninsats &amp; Poäng'!F:F,"F3")</f>
        <v/>
      </c>
      <c r="H49" s="165">
        <f>IFERROR(SUMIFS('Egeninsats &amp; Poäng'!K:K,'Egeninsats &amp; Poäng'!C:C,"Per Gustafsson",'Egeninsats &amp; Poäng'!F:F,"F3")/SUMIFS('Egeninsats &amp; Poäng'!G:G,'Egeninsats &amp; Poäng'!C:C,"Per Gustafsson",'Egeninsats &amp; Poäng'!F:F,"F3"),"")</f>
        <v/>
      </c>
      <c r="I49" s="166">
        <f>IFERROR(SUMIFS('Egeninsats &amp; Poäng'!L:L,'Egeninsats &amp; Poäng'!C:C,"Per Gustafsson",'Egeninsats &amp; Poäng'!F:F,"F3")/SUMIFS('Egeninsats &amp; Poäng'!G:G,'Egeninsats &amp; Poäng'!C:C,"Per Gustafsson",'Egeninsats &amp; Poäng'!F:F,"F3"),"")</f>
        <v/>
      </c>
      <c r="J49" s="131">
        <f>SUMIFS('Egeninsats &amp; Poäng'!M:M,'Egeninsats &amp; Poäng'!C:C,"Per Gustafsson",'Egeninsats &amp; Poäng'!F:F,"F3")</f>
        <v/>
      </c>
      <c r="K49" s="167">
        <f>IFERROR(J49/'Equity Dashboard'!E8,"")</f>
        <v/>
      </c>
    </row>
    <row r="50" ht="19.5" customHeight="1" s="87">
      <c r="B50" s="111" t="inlineStr">
        <is>
          <t>F4</t>
        </is>
      </c>
      <c r="C50" s="168">
        <f>Projektinställningar!C27</f>
        <v/>
      </c>
      <c r="D50" s="169">
        <f>SUMIFS('Egeninsats &amp; Poäng'!G:G,'Egeninsats &amp; Poäng'!C:C,"Per Gustafsson",'Egeninsats &amp; Poäng'!F:F,"F4")</f>
        <v/>
      </c>
      <c r="E50" s="169">
        <f>IFERROR(SUMIFS('Egeninsats &amp; Poäng'!H:H,'Egeninsats &amp; Poäng'!C:C,"Per Gustafsson",'Egeninsats &amp; Poäng'!F:F,"F4")/SUMIFS('Egeninsats &amp; Poäng'!G:G,'Egeninsats &amp; Poäng'!C:C,"Per Gustafsson",'Egeninsats &amp; Poäng'!F:F,"F4"),"")</f>
        <v/>
      </c>
      <c r="F50" s="169">
        <f>IFERROR(SUMIFS('Egeninsats &amp; Poäng'!I:I,'Egeninsats &amp; Poäng'!C:C,"Per Gustafsson",'Egeninsats &amp; Poäng'!F:F,"F4")/SUMIFS('Egeninsats &amp; Poäng'!G:G,'Egeninsats &amp; Poäng'!C:C,"Per Gustafsson",'Egeninsats &amp; Poäng'!F:F,"F4"),"")</f>
        <v/>
      </c>
      <c r="G50" s="169">
        <f>SUMIFS('Egeninsats &amp; Poäng'!J:J,'Egeninsats &amp; Poäng'!C:C,"Per Gustafsson",'Egeninsats &amp; Poäng'!F:F,"F4")</f>
        <v/>
      </c>
      <c r="H50" s="170">
        <f>IFERROR(SUMIFS('Egeninsats &amp; Poäng'!K:K,'Egeninsats &amp; Poäng'!C:C,"Per Gustafsson",'Egeninsats &amp; Poäng'!F:F,"F4")/SUMIFS('Egeninsats &amp; Poäng'!G:G,'Egeninsats &amp; Poäng'!C:C,"Per Gustafsson",'Egeninsats &amp; Poäng'!F:F,"F4"),"")</f>
        <v/>
      </c>
      <c r="I50" s="171">
        <f>IFERROR(SUMIFS('Egeninsats &amp; Poäng'!L:L,'Egeninsats &amp; Poäng'!C:C,"Per Gustafsson",'Egeninsats &amp; Poäng'!F:F,"F4")/SUMIFS('Egeninsats &amp; Poäng'!G:G,'Egeninsats &amp; Poäng'!C:C,"Per Gustafsson",'Egeninsats &amp; Poäng'!F:F,"F4"),"")</f>
        <v/>
      </c>
      <c r="J50" s="172">
        <f>SUMIFS('Egeninsats &amp; Poäng'!M:M,'Egeninsats &amp; Poäng'!C:C,"Per Gustafsson",'Egeninsats &amp; Poäng'!F:F,"F4")</f>
        <v/>
      </c>
      <c r="K50" s="173">
        <f>IFERROR(J50/'Equity Dashboard'!E8,"")</f>
        <v/>
      </c>
    </row>
    <row r="51" ht="19.5" customHeight="1" s="87">
      <c r="B51" s="106" t="inlineStr">
        <is>
          <t>F5</t>
        </is>
      </c>
      <c r="C51" s="163">
        <f>Projektinställningar!C28</f>
        <v/>
      </c>
      <c r="D51" s="164">
        <f>SUMIFS('Egeninsats &amp; Poäng'!G:G,'Egeninsats &amp; Poäng'!C:C,"Per Gustafsson",'Egeninsats &amp; Poäng'!F:F,"F5")</f>
        <v/>
      </c>
      <c r="E51" s="164">
        <f>IFERROR(SUMIFS('Egeninsats &amp; Poäng'!H:H,'Egeninsats &amp; Poäng'!C:C,"Per Gustafsson",'Egeninsats &amp; Poäng'!F:F,"F5")/SUMIFS('Egeninsats &amp; Poäng'!G:G,'Egeninsats &amp; Poäng'!C:C,"Per Gustafsson",'Egeninsats &amp; Poäng'!F:F,"F5"),"")</f>
        <v/>
      </c>
      <c r="F51" s="164">
        <f>IFERROR(SUMIFS('Egeninsats &amp; Poäng'!I:I,'Egeninsats &amp; Poäng'!C:C,"Per Gustafsson",'Egeninsats &amp; Poäng'!F:F,"F5")/SUMIFS('Egeninsats &amp; Poäng'!G:G,'Egeninsats &amp; Poäng'!C:C,"Per Gustafsson",'Egeninsats &amp; Poäng'!F:F,"F5"),"")</f>
        <v/>
      </c>
      <c r="G51" s="164">
        <f>SUMIFS('Egeninsats &amp; Poäng'!J:J,'Egeninsats &amp; Poäng'!C:C,"Per Gustafsson",'Egeninsats &amp; Poäng'!F:F,"F5")</f>
        <v/>
      </c>
      <c r="H51" s="165">
        <f>IFERROR(SUMIFS('Egeninsats &amp; Poäng'!K:K,'Egeninsats &amp; Poäng'!C:C,"Per Gustafsson",'Egeninsats &amp; Poäng'!F:F,"F5")/SUMIFS('Egeninsats &amp; Poäng'!G:G,'Egeninsats &amp; Poäng'!C:C,"Per Gustafsson",'Egeninsats &amp; Poäng'!F:F,"F5"),"")</f>
        <v/>
      </c>
      <c r="I51" s="166">
        <f>IFERROR(SUMIFS('Egeninsats &amp; Poäng'!L:L,'Egeninsats &amp; Poäng'!C:C,"Per Gustafsson",'Egeninsats &amp; Poäng'!F:F,"F5")/SUMIFS('Egeninsats &amp; Poäng'!G:G,'Egeninsats &amp; Poäng'!C:C,"Per Gustafsson",'Egeninsats &amp; Poäng'!F:F,"F5"),"")</f>
        <v/>
      </c>
      <c r="J51" s="131">
        <f>SUMIFS('Egeninsats &amp; Poäng'!M:M,'Egeninsats &amp; Poäng'!C:C,"Per Gustafsson",'Egeninsats &amp; Poäng'!F:F,"F5")</f>
        <v/>
      </c>
      <c r="K51" s="167">
        <f>IFERROR(J51/'Equity Dashboard'!E8,"")</f>
        <v/>
      </c>
    </row>
    <row r="52" ht="19.5" customHeight="1" s="87">
      <c r="B52" s="111" t="inlineStr">
        <is>
          <t>F6</t>
        </is>
      </c>
      <c r="C52" s="168">
        <f>Projektinställningar!C29</f>
        <v/>
      </c>
      <c r="D52" s="169">
        <f>SUMIFS('Egeninsats &amp; Poäng'!G:G,'Egeninsats &amp; Poäng'!C:C,"Per Gustafsson",'Egeninsats &amp; Poäng'!F:F,"F6")</f>
        <v/>
      </c>
      <c r="E52" s="169">
        <f>IFERROR(SUMIFS('Egeninsats &amp; Poäng'!H:H,'Egeninsats &amp; Poäng'!C:C,"Per Gustafsson",'Egeninsats &amp; Poäng'!F:F,"F6")/SUMIFS('Egeninsats &amp; Poäng'!G:G,'Egeninsats &amp; Poäng'!C:C,"Per Gustafsson",'Egeninsats &amp; Poäng'!F:F,"F6"),"")</f>
        <v/>
      </c>
      <c r="F52" s="169">
        <f>IFERROR(SUMIFS('Egeninsats &amp; Poäng'!I:I,'Egeninsats &amp; Poäng'!C:C,"Per Gustafsson",'Egeninsats &amp; Poäng'!F:F,"F6")/SUMIFS('Egeninsats &amp; Poäng'!G:G,'Egeninsats &amp; Poäng'!C:C,"Per Gustafsson",'Egeninsats &amp; Poäng'!F:F,"F6"),"")</f>
        <v/>
      </c>
      <c r="G52" s="169">
        <f>SUMIFS('Egeninsats &amp; Poäng'!J:J,'Egeninsats &amp; Poäng'!C:C,"Per Gustafsson",'Egeninsats &amp; Poäng'!F:F,"F6")</f>
        <v/>
      </c>
      <c r="H52" s="170">
        <f>IFERROR(SUMIFS('Egeninsats &amp; Poäng'!K:K,'Egeninsats &amp; Poäng'!C:C,"Per Gustafsson",'Egeninsats &amp; Poäng'!F:F,"F6")/SUMIFS('Egeninsats &amp; Poäng'!G:G,'Egeninsats &amp; Poäng'!C:C,"Per Gustafsson",'Egeninsats &amp; Poäng'!F:F,"F6"),"")</f>
        <v/>
      </c>
      <c r="I52" s="171">
        <f>IFERROR(SUMIFS('Egeninsats &amp; Poäng'!L:L,'Egeninsats &amp; Poäng'!C:C,"Per Gustafsson",'Egeninsats &amp; Poäng'!F:F,"F6")/SUMIFS('Egeninsats &amp; Poäng'!G:G,'Egeninsats &amp; Poäng'!C:C,"Per Gustafsson",'Egeninsats &amp; Poäng'!F:F,"F6"),"")</f>
        <v/>
      </c>
      <c r="J52" s="172">
        <f>SUMIFS('Egeninsats &amp; Poäng'!M:M,'Egeninsats &amp; Poäng'!C:C,"Per Gustafsson",'Egeninsats &amp; Poäng'!F:F,"F6")</f>
        <v/>
      </c>
      <c r="K52" s="173">
        <f>IFERROR(J52/'Equity Dashboard'!E8,"")</f>
        <v/>
      </c>
    </row>
    <row r="53" ht="19.5" customHeight="1" s="87">
      <c r="B53" s="106" t="inlineStr">
        <is>
          <t>F7</t>
        </is>
      </c>
      <c r="C53" s="163">
        <f>Projektinställningar!C30</f>
        <v/>
      </c>
      <c r="D53" s="164">
        <f>SUMIFS('Egeninsats &amp; Poäng'!G:G,'Egeninsats &amp; Poäng'!C:C,"Per Gustafsson",'Egeninsats &amp; Poäng'!F:F,"F7")</f>
        <v/>
      </c>
      <c r="E53" s="164">
        <f>IFERROR(SUMIFS('Egeninsats &amp; Poäng'!H:H,'Egeninsats &amp; Poäng'!C:C,"Per Gustafsson",'Egeninsats &amp; Poäng'!F:F,"F7")/SUMIFS('Egeninsats &amp; Poäng'!G:G,'Egeninsats &amp; Poäng'!C:C,"Per Gustafsson",'Egeninsats &amp; Poäng'!F:F,"F7"),"")</f>
        <v/>
      </c>
      <c r="F53" s="164">
        <f>IFERROR(SUMIFS('Egeninsats &amp; Poäng'!I:I,'Egeninsats &amp; Poäng'!C:C,"Per Gustafsson",'Egeninsats &amp; Poäng'!F:F,"F7")/SUMIFS('Egeninsats &amp; Poäng'!G:G,'Egeninsats &amp; Poäng'!C:C,"Per Gustafsson",'Egeninsats &amp; Poäng'!F:F,"F7"),"")</f>
        <v/>
      </c>
      <c r="G53" s="164">
        <f>SUMIFS('Egeninsats &amp; Poäng'!J:J,'Egeninsats &amp; Poäng'!C:C,"Per Gustafsson",'Egeninsats &amp; Poäng'!F:F,"F7")</f>
        <v/>
      </c>
      <c r="H53" s="165">
        <f>IFERROR(SUMIFS('Egeninsats &amp; Poäng'!K:K,'Egeninsats &amp; Poäng'!C:C,"Per Gustafsson",'Egeninsats &amp; Poäng'!F:F,"F7")/SUMIFS('Egeninsats &amp; Poäng'!G:G,'Egeninsats &amp; Poäng'!C:C,"Per Gustafsson",'Egeninsats &amp; Poäng'!F:F,"F7"),"")</f>
        <v/>
      </c>
      <c r="I53" s="166">
        <f>IFERROR(SUMIFS('Egeninsats &amp; Poäng'!L:L,'Egeninsats &amp; Poäng'!C:C,"Per Gustafsson",'Egeninsats &amp; Poäng'!F:F,"F7")/SUMIFS('Egeninsats &amp; Poäng'!G:G,'Egeninsats &amp; Poäng'!C:C,"Per Gustafsson",'Egeninsats &amp; Poäng'!F:F,"F7"),"")</f>
        <v/>
      </c>
      <c r="J53" s="131">
        <f>SUMIFS('Egeninsats &amp; Poäng'!M:M,'Egeninsats &amp; Poäng'!C:C,"Per Gustafsson",'Egeninsats &amp; Poäng'!F:F,"F7")</f>
        <v/>
      </c>
      <c r="K53" s="167">
        <f>IFERROR(J53/'Equity Dashboard'!E8,"")</f>
        <v/>
      </c>
    </row>
    <row r="54" ht="19.5" customHeight="1" s="87">
      <c r="B54" s="111" t="inlineStr">
        <is>
          <t>F8</t>
        </is>
      </c>
      <c r="C54" s="168">
        <f>Projektinställningar!C31</f>
        <v/>
      </c>
      <c r="D54" s="169">
        <f>SUMIFS('Egeninsats &amp; Poäng'!G:G,'Egeninsats &amp; Poäng'!C:C,"Per Gustafsson",'Egeninsats &amp; Poäng'!F:F,"F8")</f>
        <v/>
      </c>
      <c r="E54" s="169">
        <f>IFERROR(SUMIFS('Egeninsats &amp; Poäng'!H:H,'Egeninsats &amp; Poäng'!C:C,"Per Gustafsson",'Egeninsats &amp; Poäng'!F:F,"F8")/SUMIFS('Egeninsats &amp; Poäng'!G:G,'Egeninsats &amp; Poäng'!C:C,"Per Gustafsson",'Egeninsats &amp; Poäng'!F:F,"F8"),"")</f>
        <v/>
      </c>
      <c r="F54" s="169">
        <f>IFERROR(SUMIFS('Egeninsats &amp; Poäng'!I:I,'Egeninsats &amp; Poäng'!C:C,"Per Gustafsson",'Egeninsats &amp; Poäng'!F:F,"F8")/SUMIFS('Egeninsats &amp; Poäng'!G:G,'Egeninsats &amp; Poäng'!C:C,"Per Gustafsson",'Egeninsats &amp; Poäng'!F:F,"F8"),"")</f>
        <v/>
      </c>
      <c r="G54" s="169">
        <f>SUMIFS('Egeninsats &amp; Poäng'!J:J,'Egeninsats &amp; Poäng'!C:C,"Per Gustafsson",'Egeninsats &amp; Poäng'!F:F,"F8")</f>
        <v/>
      </c>
      <c r="H54" s="170">
        <f>IFERROR(SUMIFS('Egeninsats &amp; Poäng'!K:K,'Egeninsats &amp; Poäng'!C:C,"Per Gustafsson",'Egeninsats &amp; Poäng'!F:F,"F8")/SUMIFS('Egeninsats &amp; Poäng'!G:G,'Egeninsats &amp; Poäng'!C:C,"Per Gustafsson",'Egeninsats &amp; Poäng'!F:F,"F8"),"")</f>
        <v/>
      </c>
      <c r="I54" s="171">
        <f>IFERROR(SUMIFS('Egeninsats &amp; Poäng'!L:L,'Egeninsats &amp; Poäng'!C:C,"Per Gustafsson",'Egeninsats &amp; Poäng'!F:F,"F8")/SUMIFS('Egeninsats &amp; Poäng'!G:G,'Egeninsats &amp; Poäng'!C:C,"Per Gustafsson",'Egeninsats &amp; Poäng'!F:F,"F8"),"")</f>
        <v/>
      </c>
      <c r="J54" s="172">
        <f>SUMIFS('Egeninsats &amp; Poäng'!M:M,'Egeninsats &amp; Poäng'!C:C,"Per Gustafsson",'Egeninsats &amp; Poäng'!F:F,"F8")</f>
        <v/>
      </c>
      <c r="K54" s="173">
        <f>IFERROR(J54/'Equity Dashboard'!E8,"")</f>
        <v/>
      </c>
    </row>
    <row r="55" ht="21.75" customHeight="1" s="87">
      <c r="B55" s="174" t="inlineStr">
        <is>
          <t>TOTALT</t>
        </is>
      </c>
      <c r="C55" s="100" t="n"/>
      <c r="D55" s="175">
        <f>SUM(D47:D54)</f>
        <v/>
      </c>
      <c r="E55" s="176" t="n"/>
      <c r="F55" s="176" t="n"/>
      <c r="G55" s="175">
        <f>SUM(G47:G54)</f>
        <v/>
      </c>
      <c r="H55" s="176" t="n"/>
      <c r="I55" s="176" t="n"/>
      <c r="J55" s="177">
        <f>SUM(J47:J54)</f>
        <v/>
      </c>
      <c r="K55" s="176" t="n"/>
    </row>
    <row r="56" ht="12" customHeight="1" s="87"/>
    <row r="57" ht="19.5" customHeight="1" s="87">
      <c r="B57" s="159" t="inlineStr">
        <is>
          <t>DIN ANDEL I RECOUPMENT-VATTENFALLET</t>
        </is>
      </c>
      <c r="C57" s="99" t="n"/>
      <c r="D57" s="99" t="n"/>
      <c r="E57" s="99" t="n"/>
      <c r="F57" s="99" t="n"/>
      <c r="G57" s="99" t="n"/>
      <c r="H57" s="99" t="n"/>
      <c r="I57" s="99" t="n"/>
      <c r="J57" s="99" t="n"/>
      <c r="K57" s="100" t="n"/>
    </row>
    <row r="58" ht="27.75" customHeight="1" s="87">
      <c r="B58" s="178" t="inlineStr">
        <is>
          <t>Din ägarandel (%) multipliceras med Crew-poolen (50% av netto efter distribution, finansiär och deferred fees).</t>
        </is>
      </c>
    </row>
    <row r="59" ht="30" customHeight="1" s="87">
      <c r="B59" s="151" t="inlineStr">
        <is>
          <t>Scenario A
(Litet utfall)</t>
        </is>
      </c>
      <c r="C59" s="99" t="n"/>
      <c r="D59" s="100" t="n"/>
      <c r="E59" s="151" t="inlineStr">
        <is>
          <t>Scenario B
(Mellant)</t>
        </is>
      </c>
      <c r="F59" s="99" t="n"/>
      <c r="G59" s="100" t="n"/>
      <c r="H59" s="151" t="inlineStr">
        <is>
          <t>Scenario C
(Stort utfall)</t>
        </is>
      </c>
      <c r="I59" s="99" t="n"/>
      <c r="J59" s="100" t="n"/>
    </row>
    <row r="60" ht="19.5" customHeight="1" s="87">
      <c r="B60" s="179" t="inlineStr">
        <is>
          <t>Crew-pool:</t>
        </is>
      </c>
      <c r="C60" s="99" t="n"/>
      <c r="D60" s="100" t="n"/>
      <c r="E60" s="179" t="inlineStr">
        <is>
          <t>Crew-pool:</t>
        </is>
      </c>
      <c r="F60" s="99" t="n"/>
      <c r="G60" s="100" t="n"/>
      <c r="H60" s="179" t="inlineStr">
        <is>
          <t>Crew-pool:</t>
        </is>
      </c>
      <c r="I60" s="99" t="n"/>
      <c r="J60" s="100" t="n"/>
    </row>
    <row r="61" ht="36" customHeight="1" s="87">
      <c r="B61" s="179">
        <f>'Waterfall Simulering'!D22</f>
        <v/>
      </c>
      <c r="C61" s="99" t="n"/>
      <c r="D61" s="100" t="n"/>
      <c r="E61" s="179">
        <f>'Waterfall Simulering'!E22</f>
        <v/>
      </c>
      <c r="F61" s="99" t="n"/>
      <c r="G61" s="100" t="n"/>
      <c r="H61" s="179">
        <f>'Waterfall Simulering'!F22</f>
        <v/>
      </c>
      <c r="I61" s="99" t="n"/>
      <c r="J61" s="100" t="n"/>
    </row>
    <row r="62" ht="12" customHeight="1" s="87">
      <c r="B62" s="180">
        <f>'Equity Dashboard'!F8*'Waterfall Simulering'!D22</f>
        <v/>
      </c>
      <c r="E62" s="180">
        <f>'Equity Dashboard'!F8*'Waterfall Simulering'!E22</f>
        <v/>
      </c>
      <c r="H62" s="180">
        <f>'Equity Dashboard'!F8*'Waterfall Simulering'!F22</f>
        <v/>
      </c>
    </row>
    <row r="63" ht="15.75" customHeight="1" s="87">
      <c r="B63" s="181" t="inlineStr">
        <is>
          <t>Detta utdrag är konfidentiellt och avsett enbart för mottagaren. Utfärdat av producenten.</t>
        </is>
      </c>
    </row>
    <row r="66" ht="4.5" customHeight="1" s="87"/>
    <row r="67" ht="7.5" customHeight="1" s="87"/>
    <row r="68" ht="24" customHeight="1" s="87">
      <c r="B68" s="156">
        <f>Projektinställningar!C5</f>
        <v/>
      </c>
    </row>
    <row r="69" ht="18" customHeight="1" s="87">
      <c r="B69" s="157" t="inlineStr">
        <is>
          <t>Ägarandelsutdrag — Samägande filmproduktion</t>
        </is>
      </c>
    </row>
    <row r="70" ht="6" customHeight="1" s="87">
      <c r="B70" s="90" t="n"/>
      <c r="C70" s="90" t="n"/>
      <c r="D70" s="90" t="n"/>
      <c r="E70" s="90" t="n"/>
      <c r="F70" s="90" t="n"/>
      <c r="G70" s="90" t="n"/>
      <c r="H70" s="90" t="n"/>
      <c r="I70" s="90" t="n"/>
      <c r="J70" s="90" t="n"/>
      <c r="K70" s="90" t="n"/>
    </row>
    <row r="71" ht="9.75" customHeight="1" s="87"/>
    <row r="72" ht="27.75" customHeight="1" s="87">
      <c r="B72" s="88" t="inlineStr">
        <is>
          <t>Erik Johansson</t>
        </is>
      </c>
    </row>
    <row r="73" ht="18" customHeight="1" s="87">
      <c r="B73" s="158" t="inlineStr">
        <is>
          <t>DOP</t>
        </is>
      </c>
    </row>
    <row r="74" ht="7.5" customHeight="1" s="87"/>
    <row r="75" ht="18" customHeight="1" s="87">
      <c r="B75" s="159" t="inlineStr">
        <is>
          <t>TOTALT DEFERRED (SEK)</t>
        </is>
      </c>
      <c r="C75" s="99" t="n"/>
      <c r="D75" s="100" t="n"/>
      <c r="E75" s="159" t="inlineStr">
        <is>
          <t>TOTALA POÄNG</t>
        </is>
      </c>
      <c r="F75" s="99" t="n"/>
      <c r="G75" s="100" t="n"/>
      <c r="H75" s="159" t="inlineStr">
        <is>
          <t>ÄGARANDEL</t>
        </is>
      </c>
      <c r="I75" s="99" t="n"/>
      <c r="J75" s="100" t="n"/>
    </row>
    <row r="76" ht="31.5" customHeight="1" s="87">
      <c r="B76" s="160">
        <f>'Equity Dashboard'!D9</f>
        <v/>
      </c>
      <c r="C76" s="99" t="n"/>
      <c r="D76" s="100" t="n"/>
      <c r="E76" s="161">
        <f>'Equity Dashboard'!E9</f>
        <v/>
      </c>
      <c r="F76" s="99" t="n"/>
      <c r="G76" s="100" t="n"/>
      <c r="H76" s="162">
        <f>'Equity Dashboard'!F9</f>
        <v/>
      </c>
      <c r="I76" s="99" t="n"/>
      <c r="J76" s="100" t="n"/>
    </row>
    <row r="77" ht="12" customHeight="1" s="87"/>
    <row r="78" ht="19.5" customHeight="1" s="87">
      <c r="B78" s="159" t="inlineStr">
        <is>
          <t>POÄNGHISTORIK PER FAS</t>
        </is>
      </c>
      <c r="C78" s="99" t="n"/>
      <c r="D78" s="99" t="n"/>
      <c r="E78" s="99" t="n"/>
      <c r="F78" s="99" t="n"/>
      <c r="G78" s="99" t="n"/>
      <c r="H78" s="99" t="n"/>
      <c r="I78" s="99" t="n"/>
      <c r="J78" s="99" t="n"/>
      <c r="K78" s="100" t="n"/>
    </row>
    <row r="79" ht="30" customHeight="1" s="87">
      <c r="B79" s="145" t="inlineStr">
        <is>
          <t>Fas</t>
        </is>
      </c>
      <c r="C79" s="145" t="inlineStr">
        <is>
          <t>Benämning</t>
        </is>
      </c>
      <c r="D79" s="145" t="inlineStr">
        <is>
          <t>Dagar</t>
        </is>
      </c>
      <c r="E79" s="145" t="inlineStr">
        <is>
          <t>Cash Fee/dag</t>
        </is>
      </c>
      <c r="F79" s="145" t="inlineStr">
        <is>
          <t>Markn.pris/dag</t>
        </is>
      </c>
      <c r="G79" s="145" t="inlineStr">
        <is>
          <t>Deferred (SEK)</t>
        </is>
      </c>
      <c r="H79" s="145" t="inlineStr">
        <is>
          <t>Grundp./dag</t>
        </is>
      </c>
      <c r="I79" s="145" t="inlineStr">
        <is>
          <t>Klassmult.</t>
        </is>
      </c>
      <c r="J79" s="145" t="inlineStr">
        <is>
          <t>Poäng</t>
        </is>
      </c>
      <c r="K79" s="145" t="inlineStr">
        <is>
          <t>Andel av egna</t>
        </is>
      </c>
    </row>
    <row r="80" ht="19.5" customHeight="1" s="87">
      <c r="B80" s="106" t="inlineStr">
        <is>
          <t>F1</t>
        </is>
      </c>
      <c r="C80" s="163">
        <f>Projektinställningar!C24</f>
        <v/>
      </c>
      <c r="D80" s="164">
        <f>SUMIFS('Egeninsats &amp; Poäng'!G:G,'Egeninsats &amp; Poäng'!C:C,"Erik Johansson",'Egeninsats &amp; Poäng'!F:F,"F1")</f>
        <v/>
      </c>
      <c r="E80" s="164">
        <f>IFERROR(SUMIFS('Egeninsats &amp; Poäng'!H:H,'Egeninsats &amp; Poäng'!C:C,"Erik Johansson",'Egeninsats &amp; Poäng'!F:F,"F1")/SUMIFS('Egeninsats &amp; Poäng'!G:G,'Egeninsats &amp; Poäng'!C:C,"Erik Johansson",'Egeninsats &amp; Poäng'!F:F,"F1"),"")</f>
        <v/>
      </c>
      <c r="F80" s="164">
        <f>IFERROR(SUMIFS('Egeninsats &amp; Poäng'!I:I,'Egeninsats &amp; Poäng'!C:C,"Erik Johansson",'Egeninsats &amp; Poäng'!F:F,"F1")/SUMIFS('Egeninsats &amp; Poäng'!G:G,'Egeninsats &amp; Poäng'!C:C,"Erik Johansson",'Egeninsats &amp; Poäng'!F:F,"F1"),"")</f>
        <v/>
      </c>
      <c r="G80" s="164">
        <f>SUMIFS('Egeninsats &amp; Poäng'!J:J,'Egeninsats &amp; Poäng'!C:C,"Erik Johansson",'Egeninsats &amp; Poäng'!F:F,"F1")</f>
        <v/>
      </c>
      <c r="H80" s="165">
        <f>IFERROR(SUMIFS('Egeninsats &amp; Poäng'!K:K,'Egeninsats &amp; Poäng'!C:C,"Erik Johansson",'Egeninsats &amp; Poäng'!F:F,"F1")/SUMIFS('Egeninsats &amp; Poäng'!G:G,'Egeninsats &amp; Poäng'!C:C,"Erik Johansson",'Egeninsats &amp; Poäng'!F:F,"F1"),"")</f>
        <v/>
      </c>
      <c r="I80" s="166">
        <f>IFERROR(SUMIFS('Egeninsats &amp; Poäng'!L:L,'Egeninsats &amp; Poäng'!C:C,"Erik Johansson",'Egeninsats &amp; Poäng'!F:F,"F1")/SUMIFS('Egeninsats &amp; Poäng'!G:G,'Egeninsats &amp; Poäng'!C:C,"Erik Johansson",'Egeninsats &amp; Poäng'!F:F,"F1"),"")</f>
        <v/>
      </c>
      <c r="J80" s="131">
        <f>SUMIFS('Egeninsats &amp; Poäng'!M:M,'Egeninsats &amp; Poäng'!C:C,"Erik Johansson",'Egeninsats &amp; Poäng'!F:F,"F1")</f>
        <v/>
      </c>
      <c r="K80" s="167">
        <f>IFERROR(J80/'Equity Dashboard'!E9,"")</f>
        <v/>
      </c>
    </row>
    <row r="81" ht="19.5" customHeight="1" s="87">
      <c r="B81" s="111" t="inlineStr">
        <is>
          <t>F2</t>
        </is>
      </c>
      <c r="C81" s="168">
        <f>Projektinställningar!C25</f>
        <v/>
      </c>
      <c r="D81" s="169">
        <f>SUMIFS('Egeninsats &amp; Poäng'!G:G,'Egeninsats &amp; Poäng'!C:C,"Erik Johansson",'Egeninsats &amp; Poäng'!F:F,"F2")</f>
        <v/>
      </c>
      <c r="E81" s="169">
        <f>IFERROR(SUMIFS('Egeninsats &amp; Poäng'!H:H,'Egeninsats &amp; Poäng'!C:C,"Erik Johansson",'Egeninsats &amp; Poäng'!F:F,"F2")/SUMIFS('Egeninsats &amp; Poäng'!G:G,'Egeninsats &amp; Poäng'!C:C,"Erik Johansson",'Egeninsats &amp; Poäng'!F:F,"F2"),"")</f>
        <v/>
      </c>
      <c r="F81" s="169">
        <f>IFERROR(SUMIFS('Egeninsats &amp; Poäng'!I:I,'Egeninsats &amp; Poäng'!C:C,"Erik Johansson",'Egeninsats &amp; Poäng'!F:F,"F2")/SUMIFS('Egeninsats &amp; Poäng'!G:G,'Egeninsats &amp; Poäng'!C:C,"Erik Johansson",'Egeninsats &amp; Poäng'!F:F,"F2"),"")</f>
        <v/>
      </c>
      <c r="G81" s="169">
        <f>SUMIFS('Egeninsats &amp; Poäng'!J:J,'Egeninsats &amp; Poäng'!C:C,"Erik Johansson",'Egeninsats &amp; Poäng'!F:F,"F2")</f>
        <v/>
      </c>
      <c r="H81" s="170">
        <f>IFERROR(SUMIFS('Egeninsats &amp; Poäng'!K:K,'Egeninsats &amp; Poäng'!C:C,"Erik Johansson",'Egeninsats &amp; Poäng'!F:F,"F2")/SUMIFS('Egeninsats &amp; Poäng'!G:G,'Egeninsats &amp; Poäng'!C:C,"Erik Johansson",'Egeninsats &amp; Poäng'!F:F,"F2"),"")</f>
        <v/>
      </c>
      <c r="I81" s="171">
        <f>IFERROR(SUMIFS('Egeninsats &amp; Poäng'!L:L,'Egeninsats &amp; Poäng'!C:C,"Erik Johansson",'Egeninsats &amp; Poäng'!F:F,"F2")/SUMIFS('Egeninsats &amp; Poäng'!G:G,'Egeninsats &amp; Poäng'!C:C,"Erik Johansson",'Egeninsats &amp; Poäng'!F:F,"F2"),"")</f>
        <v/>
      </c>
      <c r="J81" s="172">
        <f>SUMIFS('Egeninsats &amp; Poäng'!M:M,'Egeninsats &amp; Poäng'!C:C,"Erik Johansson",'Egeninsats &amp; Poäng'!F:F,"F2")</f>
        <v/>
      </c>
      <c r="K81" s="173">
        <f>IFERROR(J81/'Equity Dashboard'!E9,"")</f>
        <v/>
      </c>
    </row>
    <row r="82" ht="19.5" customHeight="1" s="87">
      <c r="B82" s="106" t="inlineStr">
        <is>
          <t>F3</t>
        </is>
      </c>
      <c r="C82" s="163">
        <f>Projektinställningar!C26</f>
        <v/>
      </c>
      <c r="D82" s="164">
        <f>SUMIFS('Egeninsats &amp; Poäng'!G:G,'Egeninsats &amp; Poäng'!C:C,"Erik Johansson",'Egeninsats &amp; Poäng'!F:F,"F3")</f>
        <v/>
      </c>
      <c r="E82" s="164">
        <f>IFERROR(SUMIFS('Egeninsats &amp; Poäng'!H:H,'Egeninsats &amp; Poäng'!C:C,"Erik Johansson",'Egeninsats &amp; Poäng'!F:F,"F3")/SUMIFS('Egeninsats &amp; Poäng'!G:G,'Egeninsats &amp; Poäng'!C:C,"Erik Johansson",'Egeninsats &amp; Poäng'!F:F,"F3"),"")</f>
        <v/>
      </c>
      <c r="F82" s="164">
        <f>IFERROR(SUMIFS('Egeninsats &amp; Poäng'!I:I,'Egeninsats &amp; Poäng'!C:C,"Erik Johansson",'Egeninsats &amp; Poäng'!F:F,"F3")/SUMIFS('Egeninsats &amp; Poäng'!G:G,'Egeninsats &amp; Poäng'!C:C,"Erik Johansson",'Egeninsats &amp; Poäng'!F:F,"F3"),"")</f>
        <v/>
      </c>
      <c r="G82" s="164">
        <f>SUMIFS('Egeninsats &amp; Poäng'!J:J,'Egeninsats &amp; Poäng'!C:C,"Erik Johansson",'Egeninsats &amp; Poäng'!F:F,"F3")</f>
        <v/>
      </c>
      <c r="H82" s="165">
        <f>IFERROR(SUMIFS('Egeninsats &amp; Poäng'!K:K,'Egeninsats &amp; Poäng'!C:C,"Erik Johansson",'Egeninsats &amp; Poäng'!F:F,"F3")/SUMIFS('Egeninsats &amp; Poäng'!G:G,'Egeninsats &amp; Poäng'!C:C,"Erik Johansson",'Egeninsats &amp; Poäng'!F:F,"F3"),"")</f>
        <v/>
      </c>
      <c r="I82" s="166">
        <f>IFERROR(SUMIFS('Egeninsats &amp; Poäng'!L:L,'Egeninsats &amp; Poäng'!C:C,"Erik Johansson",'Egeninsats &amp; Poäng'!F:F,"F3")/SUMIFS('Egeninsats &amp; Poäng'!G:G,'Egeninsats &amp; Poäng'!C:C,"Erik Johansson",'Egeninsats &amp; Poäng'!F:F,"F3"),"")</f>
        <v/>
      </c>
      <c r="J82" s="131">
        <f>SUMIFS('Egeninsats &amp; Poäng'!M:M,'Egeninsats &amp; Poäng'!C:C,"Erik Johansson",'Egeninsats &amp; Poäng'!F:F,"F3")</f>
        <v/>
      </c>
      <c r="K82" s="167">
        <f>IFERROR(J82/'Equity Dashboard'!E9,"")</f>
        <v/>
      </c>
    </row>
    <row r="83" ht="19.5" customHeight="1" s="87">
      <c r="B83" s="111" t="inlineStr">
        <is>
          <t>F4</t>
        </is>
      </c>
      <c r="C83" s="168">
        <f>Projektinställningar!C27</f>
        <v/>
      </c>
      <c r="D83" s="169">
        <f>SUMIFS('Egeninsats &amp; Poäng'!G:G,'Egeninsats &amp; Poäng'!C:C,"Erik Johansson",'Egeninsats &amp; Poäng'!F:F,"F4")</f>
        <v/>
      </c>
      <c r="E83" s="169">
        <f>IFERROR(SUMIFS('Egeninsats &amp; Poäng'!H:H,'Egeninsats &amp; Poäng'!C:C,"Erik Johansson",'Egeninsats &amp; Poäng'!F:F,"F4")/SUMIFS('Egeninsats &amp; Poäng'!G:G,'Egeninsats &amp; Poäng'!C:C,"Erik Johansson",'Egeninsats &amp; Poäng'!F:F,"F4"),"")</f>
        <v/>
      </c>
      <c r="F83" s="169">
        <f>IFERROR(SUMIFS('Egeninsats &amp; Poäng'!I:I,'Egeninsats &amp; Poäng'!C:C,"Erik Johansson",'Egeninsats &amp; Poäng'!F:F,"F4")/SUMIFS('Egeninsats &amp; Poäng'!G:G,'Egeninsats &amp; Poäng'!C:C,"Erik Johansson",'Egeninsats &amp; Poäng'!F:F,"F4"),"")</f>
        <v/>
      </c>
      <c r="G83" s="169">
        <f>SUMIFS('Egeninsats &amp; Poäng'!J:J,'Egeninsats &amp; Poäng'!C:C,"Erik Johansson",'Egeninsats &amp; Poäng'!F:F,"F4")</f>
        <v/>
      </c>
      <c r="H83" s="170">
        <f>IFERROR(SUMIFS('Egeninsats &amp; Poäng'!K:K,'Egeninsats &amp; Poäng'!C:C,"Erik Johansson",'Egeninsats &amp; Poäng'!F:F,"F4")/SUMIFS('Egeninsats &amp; Poäng'!G:G,'Egeninsats &amp; Poäng'!C:C,"Erik Johansson",'Egeninsats &amp; Poäng'!F:F,"F4"),"")</f>
        <v/>
      </c>
      <c r="I83" s="171">
        <f>IFERROR(SUMIFS('Egeninsats &amp; Poäng'!L:L,'Egeninsats &amp; Poäng'!C:C,"Erik Johansson",'Egeninsats &amp; Poäng'!F:F,"F4")/SUMIFS('Egeninsats &amp; Poäng'!G:G,'Egeninsats &amp; Poäng'!C:C,"Erik Johansson",'Egeninsats &amp; Poäng'!F:F,"F4"),"")</f>
        <v/>
      </c>
      <c r="J83" s="172">
        <f>SUMIFS('Egeninsats &amp; Poäng'!M:M,'Egeninsats &amp; Poäng'!C:C,"Erik Johansson",'Egeninsats &amp; Poäng'!F:F,"F4")</f>
        <v/>
      </c>
      <c r="K83" s="173">
        <f>IFERROR(J83/'Equity Dashboard'!E9,"")</f>
        <v/>
      </c>
    </row>
    <row r="84" ht="19.5" customHeight="1" s="87">
      <c r="B84" s="106" t="inlineStr">
        <is>
          <t>F5</t>
        </is>
      </c>
      <c r="C84" s="163">
        <f>Projektinställningar!C28</f>
        <v/>
      </c>
      <c r="D84" s="164">
        <f>SUMIFS('Egeninsats &amp; Poäng'!G:G,'Egeninsats &amp; Poäng'!C:C,"Erik Johansson",'Egeninsats &amp; Poäng'!F:F,"F5")</f>
        <v/>
      </c>
      <c r="E84" s="164">
        <f>IFERROR(SUMIFS('Egeninsats &amp; Poäng'!H:H,'Egeninsats &amp; Poäng'!C:C,"Erik Johansson",'Egeninsats &amp; Poäng'!F:F,"F5")/SUMIFS('Egeninsats &amp; Poäng'!G:G,'Egeninsats &amp; Poäng'!C:C,"Erik Johansson",'Egeninsats &amp; Poäng'!F:F,"F5"),"")</f>
        <v/>
      </c>
      <c r="F84" s="164">
        <f>IFERROR(SUMIFS('Egeninsats &amp; Poäng'!I:I,'Egeninsats &amp; Poäng'!C:C,"Erik Johansson",'Egeninsats &amp; Poäng'!F:F,"F5")/SUMIFS('Egeninsats &amp; Poäng'!G:G,'Egeninsats &amp; Poäng'!C:C,"Erik Johansson",'Egeninsats &amp; Poäng'!F:F,"F5"),"")</f>
        <v/>
      </c>
      <c r="G84" s="164">
        <f>SUMIFS('Egeninsats &amp; Poäng'!J:J,'Egeninsats &amp; Poäng'!C:C,"Erik Johansson",'Egeninsats &amp; Poäng'!F:F,"F5")</f>
        <v/>
      </c>
      <c r="H84" s="165">
        <f>IFERROR(SUMIFS('Egeninsats &amp; Poäng'!K:K,'Egeninsats &amp; Poäng'!C:C,"Erik Johansson",'Egeninsats &amp; Poäng'!F:F,"F5")/SUMIFS('Egeninsats &amp; Poäng'!G:G,'Egeninsats &amp; Poäng'!C:C,"Erik Johansson",'Egeninsats &amp; Poäng'!F:F,"F5"),"")</f>
        <v/>
      </c>
      <c r="I84" s="166">
        <f>IFERROR(SUMIFS('Egeninsats &amp; Poäng'!L:L,'Egeninsats &amp; Poäng'!C:C,"Erik Johansson",'Egeninsats &amp; Poäng'!F:F,"F5")/SUMIFS('Egeninsats &amp; Poäng'!G:G,'Egeninsats &amp; Poäng'!C:C,"Erik Johansson",'Egeninsats &amp; Poäng'!F:F,"F5"),"")</f>
        <v/>
      </c>
      <c r="J84" s="131">
        <f>SUMIFS('Egeninsats &amp; Poäng'!M:M,'Egeninsats &amp; Poäng'!C:C,"Erik Johansson",'Egeninsats &amp; Poäng'!F:F,"F5")</f>
        <v/>
      </c>
      <c r="K84" s="167">
        <f>IFERROR(J84/'Equity Dashboard'!E9,"")</f>
        <v/>
      </c>
    </row>
    <row r="85" ht="19.5" customHeight="1" s="87">
      <c r="B85" s="111" t="inlineStr">
        <is>
          <t>F6</t>
        </is>
      </c>
      <c r="C85" s="168">
        <f>Projektinställningar!C29</f>
        <v/>
      </c>
      <c r="D85" s="169">
        <f>SUMIFS('Egeninsats &amp; Poäng'!G:G,'Egeninsats &amp; Poäng'!C:C,"Erik Johansson",'Egeninsats &amp; Poäng'!F:F,"F6")</f>
        <v/>
      </c>
      <c r="E85" s="169">
        <f>IFERROR(SUMIFS('Egeninsats &amp; Poäng'!H:H,'Egeninsats &amp; Poäng'!C:C,"Erik Johansson",'Egeninsats &amp; Poäng'!F:F,"F6")/SUMIFS('Egeninsats &amp; Poäng'!G:G,'Egeninsats &amp; Poäng'!C:C,"Erik Johansson",'Egeninsats &amp; Poäng'!F:F,"F6"),"")</f>
        <v/>
      </c>
      <c r="F85" s="169">
        <f>IFERROR(SUMIFS('Egeninsats &amp; Poäng'!I:I,'Egeninsats &amp; Poäng'!C:C,"Erik Johansson",'Egeninsats &amp; Poäng'!F:F,"F6")/SUMIFS('Egeninsats &amp; Poäng'!G:G,'Egeninsats &amp; Poäng'!C:C,"Erik Johansson",'Egeninsats &amp; Poäng'!F:F,"F6"),"")</f>
        <v/>
      </c>
      <c r="G85" s="169">
        <f>SUMIFS('Egeninsats &amp; Poäng'!J:J,'Egeninsats &amp; Poäng'!C:C,"Erik Johansson",'Egeninsats &amp; Poäng'!F:F,"F6")</f>
        <v/>
      </c>
      <c r="H85" s="170">
        <f>IFERROR(SUMIFS('Egeninsats &amp; Poäng'!K:K,'Egeninsats &amp; Poäng'!C:C,"Erik Johansson",'Egeninsats &amp; Poäng'!F:F,"F6")/SUMIFS('Egeninsats &amp; Poäng'!G:G,'Egeninsats &amp; Poäng'!C:C,"Erik Johansson",'Egeninsats &amp; Poäng'!F:F,"F6"),"")</f>
        <v/>
      </c>
      <c r="I85" s="171">
        <f>IFERROR(SUMIFS('Egeninsats &amp; Poäng'!L:L,'Egeninsats &amp; Poäng'!C:C,"Erik Johansson",'Egeninsats &amp; Poäng'!F:F,"F6")/SUMIFS('Egeninsats &amp; Poäng'!G:G,'Egeninsats &amp; Poäng'!C:C,"Erik Johansson",'Egeninsats &amp; Poäng'!F:F,"F6"),"")</f>
        <v/>
      </c>
      <c r="J85" s="172">
        <f>SUMIFS('Egeninsats &amp; Poäng'!M:M,'Egeninsats &amp; Poäng'!C:C,"Erik Johansson",'Egeninsats &amp; Poäng'!F:F,"F6")</f>
        <v/>
      </c>
      <c r="K85" s="173">
        <f>IFERROR(J85/'Equity Dashboard'!E9,"")</f>
        <v/>
      </c>
    </row>
    <row r="86" ht="19.5" customHeight="1" s="87">
      <c r="B86" s="106" t="inlineStr">
        <is>
          <t>F7</t>
        </is>
      </c>
      <c r="C86" s="163">
        <f>Projektinställningar!C30</f>
        <v/>
      </c>
      <c r="D86" s="164">
        <f>SUMIFS('Egeninsats &amp; Poäng'!G:G,'Egeninsats &amp; Poäng'!C:C,"Erik Johansson",'Egeninsats &amp; Poäng'!F:F,"F7")</f>
        <v/>
      </c>
      <c r="E86" s="164">
        <f>IFERROR(SUMIFS('Egeninsats &amp; Poäng'!H:H,'Egeninsats &amp; Poäng'!C:C,"Erik Johansson",'Egeninsats &amp; Poäng'!F:F,"F7")/SUMIFS('Egeninsats &amp; Poäng'!G:G,'Egeninsats &amp; Poäng'!C:C,"Erik Johansson",'Egeninsats &amp; Poäng'!F:F,"F7"),"")</f>
        <v/>
      </c>
      <c r="F86" s="164">
        <f>IFERROR(SUMIFS('Egeninsats &amp; Poäng'!I:I,'Egeninsats &amp; Poäng'!C:C,"Erik Johansson",'Egeninsats &amp; Poäng'!F:F,"F7")/SUMIFS('Egeninsats &amp; Poäng'!G:G,'Egeninsats &amp; Poäng'!C:C,"Erik Johansson",'Egeninsats &amp; Poäng'!F:F,"F7"),"")</f>
        <v/>
      </c>
      <c r="G86" s="164">
        <f>SUMIFS('Egeninsats &amp; Poäng'!J:J,'Egeninsats &amp; Poäng'!C:C,"Erik Johansson",'Egeninsats &amp; Poäng'!F:F,"F7")</f>
        <v/>
      </c>
      <c r="H86" s="165">
        <f>IFERROR(SUMIFS('Egeninsats &amp; Poäng'!K:K,'Egeninsats &amp; Poäng'!C:C,"Erik Johansson",'Egeninsats &amp; Poäng'!F:F,"F7")/SUMIFS('Egeninsats &amp; Poäng'!G:G,'Egeninsats &amp; Poäng'!C:C,"Erik Johansson",'Egeninsats &amp; Poäng'!F:F,"F7"),"")</f>
        <v/>
      </c>
      <c r="I86" s="166">
        <f>IFERROR(SUMIFS('Egeninsats &amp; Poäng'!L:L,'Egeninsats &amp; Poäng'!C:C,"Erik Johansson",'Egeninsats &amp; Poäng'!F:F,"F7")/SUMIFS('Egeninsats &amp; Poäng'!G:G,'Egeninsats &amp; Poäng'!C:C,"Erik Johansson",'Egeninsats &amp; Poäng'!F:F,"F7"),"")</f>
        <v/>
      </c>
      <c r="J86" s="131">
        <f>SUMIFS('Egeninsats &amp; Poäng'!M:M,'Egeninsats &amp; Poäng'!C:C,"Erik Johansson",'Egeninsats &amp; Poäng'!F:F,"F7")</f>
        <v/>
      </c>
      <c r="K86" s="167">
        <f>IFERROR(J86/'Equity Dashboard'!E9,"")</f>
        <v/>
      </c>
    </row>
    <row r="87" ht="19.5" customHeight="1" s="87">
      <c r="B87" s="111" t="inlineStr">
        <is>
          <t>F8</t>
        </is>
      </c>
      <c r="C87" s="168">
        <f>Projektinställningar!C31</f>
        <v/>
      </c>
      <c r="D87" s="169">
        <f>SUMIFS('Egeninsats &amp; Poäng'!G:G,'Egeninsats &amp; Poäng'!C:C,"Erik Johansson",'Egeninsats &amp; Poäng'!F:F,"F8")</f>
        <v/>
      </c>
      <c r="E87" s="169">
        <f>IFERROR(SUMIFS('Egeninsats &amp; Poäng'!H:H,'Egeninsats &amp; Poäng'!C:C,"Erik Johansson",'Egeninsats &amp; Poäng'!F:F,"F8")/SUMIFS('Egeninsats &amp; Poäng'!G:G,'Egeninsats &amp; Poäng'!C:C,"Erik Johansson",'Egeninsats &amp; Poäng'!F:F,"F8"),"")</f>
        <v/>
      </c>
      <c r="F87" s="169">
        <f>IFERROR(SUMIFS('Egeninsats &amp; Poäng'!I:I,'Egeninsats &amp; Poäng'!C:C,"Erik Johansson",'Egeninsats &amp; Poäng'!F:F,"F8")/SUMIFS('Egeninsats &amp; Poäng'!G:G,'Egeninsats &amp; Poäng'!C:C,"Erik Johansson",'Egeninsats &amp; Poäng'!F:F,"F8"),"")</f>
        <v/>
      </c>
      <c r="G87" s="169">
        <f>SUMIFS('Egeninsats &amp; Poäng'!J:J,'Egeninsats &amp; Poäng'!C:C,"Erik Johansson",'Egeninsats &amp; Poäng'!F:F,"F8")</f>
        <v/>
      </c>
      <c r="H87" s="170">
        <f>IFERROR(SUMIFS('Egeninsats &amp; Poäng'!K:K,'Egeninsats &amp; Poäng'!C:C,"Erik Johansson",'Egeninsats &amp; Poäng'!F:F,"F8")/SUMIFS('Egeninsats &amp; Poäng'!G:G,'Egeninsats &amp; Poäng'!C:C,"Erik Johansson",'Egeninsats &amp; Poäng'!F:F,"F8"),"")</f>
        <v/>
      </c>
      <c r="I87" s="171">
        <f>IFERROR(SUMIFS('Egeninsats &amp; Poäng'!L:L,'Egeninsats &amp; Poäng'!C:C,"Erik Johansson",'Egeninsats &amp; Poäng'!F:F,"F8")/SUMIFS('Egeninsats &amp; Poäng'!G:G,'Egeninsats &amp; Poäng'!C:C,"Erik Johansson",'Egeninsats &amp; Poäng'!F:F,"F8"),"")</f>
        <v/>
      </c>
      <c r="J87" s="172">
        <f>SUMIFS('Egeninsats &amp; Poäng'!M:M,'Egeninsats &amp; Poäng'!C:C,"Erik Johansson",'Egeninsats &amp; Poäng'!F:F,"F8")</f>
        <v/>
      </c>
      <c r="K87" s="173">
        <f>IFERROR(J87/'Equity Dashboard'!E9,"")</f>
        <v/>
      </c>
    </row>
    <row r="88" ht="21.75" customHeight="1" s="87">
      <c r="B88" s="174" t="inlineStr">
        <is>
          <t>TOTALT</t>
        </is>
      </c>
      <c r="C88" s="100" t="n"/>
      <c r="D88" s="175">
        <f>SUM(D80:D87)</f>
        <v/>
      </c>
      <c r="E88" s="176" t="n"/>
      <c r="F88" s="176" t="n"/>
      <c r="G88" s="175">
        <f>SUM(G80:G87)</f>
        <v/>
      </c>
      <c r="H88" s="176" t="n"/>
      <c r="I88" s="176" t="n"/>
      <c r="J88" s="177">
        <f>SUM(J80:J87)</f>
        <v/>
      </c>
      <c r="K88" s="176" t="n"/>
    </row>
    <row r="89" ht="12" customHeight="1" s="87"/>
    <row r="90" ht="19.5" customHeight="1" s="87">
      <c r="B90" s="159" t="inlineStr">
        <is>
          <t>DIN ANDEL I RECOUPMENT-VATTENFALLET</t>
        </is>
      </c>
      <c r="C90" s="99" t="n"/>
      <c r="D90" s="99" t="n"/>
      <c r="E90" s="99" t="n"/>
      <c r="F90" s="99" t="n"/>
      <c r="G90" s="99" t="n"/>
      <c r="H90" s="99" t="n"/>
      <c r="I90" s="99" t="n"/>
      <c r="J90" s="99" t="n"/>
      <c r="K90" s="100" t="n"/>
    </row>
    <row r="91" ht="27.75" customHeight="1" s="87">
      <c r="B91" s="178" t="inlineStr">
        <is>
          <t>Din ägarandel (%) multipliceras med Crew-poolen (50% av netto efter distribution, finansiär och deferred fees).</t>
        </is>
      </c>
    </row>
    <row r="92" ht="30" customHeight="1" s="87">
      <c r="B92" s="151" t="inlineStr">
        <is>
          <t>Scenario A
(Litet utfall)</t>
        </is>
      </c>
      <c r="C92" s="99" t="n"/>
      <c r="D92" s="100" t="n"/>
      <c r="E92" s="151" t="inlineStr">
        <is>
          <t>Scenario B
(Mellant)</t>
        </is>
      </c>
      <c r="F92" s="99" t="n"/>
      <c r="G92" s="100" t="n"/>
      <c r="H92" s="151" t="inlineStr">
        <is>
          <t>Scenario C
(Stort utfall)</t>
        </is>
      </c>
      <c r="I92" s="99" t="n"/>
      <c r="J92" s="100" t="n"/>
    </row>
    <row r="93" ht="19.5" customHeight="1" s="87">
      <c r="B93" s="179" t="inlineStr">
        <is>
          <t>Crew-pool:</t>
        </is>
      </c>
      <c r="C93" s="99" t="n"/>
      <c r="D93" s="100" t="n"/>
      <c r="E93" s="179" t="inlineStr">
        <is>
          <t>Crew-pool:</t>
        </is>
      </c>
      <c r="F93" s="99" t="n"/>
      <c r="G93" s="100" t="n"/>
      <c r="H93" s="179" t="inlineStr">
        <is>
          <t>Crew-pool:</t>
        </is>
      </c>
      <c r="I93" s="99" t="n"/>
      <c r="J93" s="100" t="n"/>
    </row>
    <row r="94" ht="36" customHeight="1" s="87">
      <c r="B94" s="179">
        <f>'Waterfall Simulering'!D22</f>
        <v/>
      </c>
      <c r="C94" s="99" t="n"/>
      <c r="D94" s="100" t="n"/>
      <c r="E94" s="179">
        <f>'Waterfall Simulering'!E22</f>
        <v/>
      </c>
      <c r="F94" s="99" t="n"/>
      <c r="G94" s="100" t="n"/>
      <c r="H94" s="179">
        <f>'Waterfall Simulering'!F22</f>
        <v/>
      </c>
      <c r="I94" s="99" t="n"/>
      <c r="J94" s="100" t="n"/>
    </row>
    <row r="95" ht="12" customHeight="1" s="87">
      <c r="B95" s="180">
        <f>'Equity Dashboard'!F9*'Waterfall Simulering'!D22</f>
        <v/>
      </c>
      <c r="E95" s="180">
        <f>'Equity Dashboard'!F9*'Waterfall Simulering'!E22</f>
        <v/>
      </c>
      <c r="H95" s="180">
        <f>'Equity Dashboard'!F9*'Waterfall Simulering'!F22</f>
        <v/>
      </c>
    </row>
    <row r="96" ht="15.75" customHeight="1" s="87">
      <c r="B96" s="181" t="inlineStr">
        <is>
          <t>Detta utdrag är konfidentiellt och avsett enbart för mottagaren. Utfärdat av producenten.</t>
        </is>
      </c>
    </row>
    <row r="99" ht="4.5" customHeight="1" s="87"/>
    <row r="100" ht="7.5" customHeight="1" s="87"/>
    <row r="101" ht="24" customHeight="1" s="87">
      <c r="B101" s="156">
        <f>Projektinställningar!C5</f>
        <v/>
      </c>
    </row>
    <row r="102" ht="18" customHeight="1" s="87">
      <c r="B102" s="157" t="inlineStr">
        <is>
          <t>Ägarandelsutdrag — Samägande filmproduktion</t>
        </is>
      </c>
    </row>
    <row r="103" ht="6" customHeight="1" s="87">
      <c r="B103" s="90" t="n"/>
      <c r="C103" s="90" t="n"/>
      <c r="D103" s="90" t="n"/>
      <c r="E103" s="90" t="n"/>
      <c r="F103" s="90" t="n"/>
      <c r="G103" s="90" t="n"/>
      <c r="H103" s="90" t="n"/>
      <c r="I103" s="90" t="n"/>
      <c r="J103" s="90" t="n"/>
      <c r="K103" s="90" t="n"/>
    </row>
    <row r="104" ht="9.75" customHeight="1" s="87"/>
    <row r="105" ht="27.75" customHeight="1" s="87">
      <c r="B105" s="88" t="inlineStr">
        <is>
          <t>Sara Nilsson</t>
        </is>
      </c>
    </row>
    <row r="106" ht="18" customHeight="1" s="87">
      <c r="B106" s="158" t="inlineStr">
        <is>
          <t>1:e AD</t>
        </is>
      </c>
    </row>
    <row r="107" ht="7.5" customHeight="1" s="87"/>
    <row r="108" ht="18" customHeight="1" s="87">
      <c r="B108" s="159" t="inlineStr">
        <is>
          <t>TOTALT DEFERRED (SEK)</t>
        </is>
      </c>
      <c r="C108" s="99" t="n"/>
      <c r="D108" s="100" t="n"/>
      <c r="E108" s="159" t="inlineStr">
        <is>
          <t>TOTALA POÄNG</t>
        </is>
      </c>
      <c r="F108" s="99" t="n"/>
      <c r="G108" s="100" t="n"/>
      <c r="H108" s="159" t="inlineStr">
        <is>
          <t>ÄGARANDEL</t>
        </is>
      </c>
      <c r="I108" s="99" t="n"/>
      <c r="J108" s="100" t="n"/>
    </row>
    <row r="109" ht="31.5" customHeight="1" s="87">
      <c r="B109" s="160">
        <f>'Equity Dashboard'!D10</f>
        <v/>
      </c>
      <c r="C109" s="99" t="n"/>
      <c r="D109" s="100" t="n"/>
      <c r="E109" s="161">
        <f>'Equity Dashboard'!E10</f>
        <v/>
      </c>
      <c r="F109" s="99" t="n"/>
      <c r="G109" s="100" t="n"/>
      <c r="H109" s="162">
        <f>'Equity Dashboard'!F10</f>
        <v/>
      </c>
      <c r="I109" s="99" t="n"/>
      <c r="J109" s="100" t="n"/>
    </row>
    <row r="110" ht="12" customHeight="1" s="87"/>
    <row r="111" ht="19.5" customHeight="1" s="87">
      <c r="B111" s="159" t="inlineStr">
        <is>
          <t>POÄNGHISTORIK PER FAS</t>
        </is>
      </c>
      <c r="C111" s="99" t="n"/>
      <c r="D111" s="99" t="n"/>
      <c r="E111" s="99" t="n"/>
      <c r="F111" s="99" t="n"/>
      <c r="G111" s="99" t="n"/>
      <c r="H111" s="99" t="n"/>
      <c r="I111" s="99" t="n"/>
      <c r="J111" s="99" t="n"/>
      <c r="K111" s="100" t="n"/>
    </row>
    <row r="112" ht="30" customHeight="1" s="87">
      <c r="B112" s="145" t="inlineStr">
        <is>
          <t>Fas</t>
        </is>
      </c>
      <c r="C112" s="145" t="inlineStr">
        <is>
          <t>Benämning</t>
        </is>
      </c>
      <c r="D112" s="145" t="inlineStr">
        <is>
          <t>Dagar</t>
        </is>
      </c>
      <c r="E112" s="145" t="inlineStr">
        <is>
          <t>Cash Fee/dag</t>
        </is>
      </c>
      <c r="F112" s="145" t="inlineStr">
        <is>
          <t>Markn.pris/dag</t>
        </is>
      </c>
      <c r="G112" s="145" t="inlineStr">
        <is>
          <t>Deferred (SEK)</t>
        </is>
      </c>
      <c r="H112" s="145" t="inlineStr">
        <is>
          <t>Grundp./dag</t>
        </is>
      </c>
      <c r="I112" s="145" t="inlineStr">
        <is>
          <t>Klassmult.</t>
        </is>
      </c>
      <c r="J112" s="145" t="inlineStr">
        <is>
          <t>Poäng</t>
        </is>
      </c>
      <c r="K112" s="145" t="inlineStr">
        <is>
          <t>Andel av egna</t>
        </is>
      </c>
    </row>
    <row r="113" ht="19.5" customHeight="1" s="87">
      <c r="B113" s="106" t="inlineStr">
        <is>
          <t>F1</t>
        </is>
      </c>
      <c r="C113" s="163">
        <f>Projektinställningar!C24</f>
        <v/>
      </c>
      <c r="D113" s="164">
        <f>SUMIFS('Egeninsats &amp; Poäng'!G:G,'Egeninsats &amp; Poäng'!C:C,"Sara Nilsson",'Egeninsats &amp; Poäng'!F:F,"F1")</f>
        <v/>
      </c>
      <c r="E113" s="164">
        <f>IFERROR(SUMIFS('Egeninsats &amp; Poäng'!H:H,'Egeninsats &amp; Poäng'!C:C,"Sara Nilsson",'Egeninsats &amp; Poäng'!F:F,"F1")/SUMIFS('Egeninsats &amp; Poäng'!G:G,'Egeninsats &amp; Poäng'!C:C,"Sara Nilsson",'Egeninsats &amp; Poäng'!F:F,"F1"),"")</f>
        <v/>
      </c>
      <c r="F113" s="164">
        <f>IFERROR(SUMIFS('Egeninsats &amp; Poäng'!I:I,'Egeninsats &amp; Poäng'!C:C,"Sara Nilsson",'Egeninsats &amp; Poäng'!F:F,"F1")/SUMIFS('Egeninsats &amp; Poäng'!G:G,'Egeninsats &amp; Poäng'!C:C,"Sara Nilsson",'Egeninsats &amp; Poäng'!F:F,"F1"),"")</f>
        <v/>
      </c>
      <c r="G113" s="164">
        <f>SUMIFS('Egeninsats &amp; Poäng'!J:J,'Egeninsats &amp; Poäng'!C:C,"Sara Nilsson",'Egeninsats &amp; Poäng'!F:F,"F1")</f>
        <v/>
      </c>
      <c r="H113" s="165">
        <f>IFERROR(SUMIFS('Egeninsats &amp; Poäng'!K:K,'Egeninsats &amp; Poäng'!C:C,"Sara Nilsson",'Egeninsats &amp; Poäng'!F:F,"F1")/SUMIFS('Egeninsats &amp; Poäng'!G:G,'Egeninsats &amp; Poäng'!C:C,"Sara Nilsson",'Egeninsats &amp; Poäng'!F:F,"F1"),"")</f>
        <v/>
      </c>
      <c r="I113" s="166">
        <f>IFERROR(SUMIFS('Egeninsats &amp; Poäng'!L:L,'Egeninsats &amp; Poäng'!C:C,"Sara Nilsson",'Egeninsats &amp; Poäng'!F:F,"F1")/SUMIFS('Egeninsats &amp; Poäng'!G:G,'Egeninsats &amp; Poäng'!C:C,"Sara Nilsson",'Egeninsats &amp; Poäng'!F:F,"F1"),"")</f>
        <v/>
      </c>
      <c r="J113" s="131">
        <f>SUMIFS('Egeninsats &amp; Poäng'!M:M,'Egeninsats &amp; Poäng'!C:C,"Sara Nilsson",'Egeninsats &amp; Poäng'!F:F,"F1")</f>
        <v/>
      </c>
      <c r="K113" s="167">
        <f>IFERROR(J113/'Equity Dashboard'!E10,"")</f>
        <v/>
      </c>
    </row>
    <row r="114" ht="19.5" customHeight="1" s="87">
      <c r="B114" s="111" t="inlineStr">
        <is>
          <t>F2</t>
        </is>
      </c>
      <c r="C114" s="168">
        <f>Projektinställningar!C25</f>
        <v/>
      </c>
      <c r="D114" s="169">
        <f>SUMIFS('Egeninsats &amp; Poäng'!G:G,'Egeninsats &amp; Poäng'!C:C,"Sara Nilsson",'Egeninsats &amp; Poäng'!F:F,"F2")</f>
        <v/>
      </c>
      <c r="E114" s="169">
        <f>IFERROR(SUMIFS('Egeninsats &amp; Poäng'!H:H,'Egeninsats &amp; Poäng'!C:C,"Sara Nilsson",'Egeninsats &amp; Poäng'!F:F,"F2")/SUMIFS('Egeninsats &amp; Poäng'!G:G,'Egeninsats &amp; Poäng'!C:C,"Sara Nilsson",'Egeninsats &amp; Poäng'!F:F,"F2"),"")</f>
        <v/>
      </c>
      <c r="F114" s="169">
        <f>IFERROR(SUMIFS('Egeninsats &amp; Poäng'!I:I,'Egeninsats &amp; Poäng'!C:C,"Sara Nilsson",'Egeninsats &amp; Poäng'!F:F,"F2")/SUMIFS('Egeninsats &amp; Poäng'!G:G,'Egeninsats &amp; Poäng'!C:C,"Sara Nilsson",'Egeninsats &amp; Poäng'!F:F,"F2"),"")</f>
        <v/>
      </c>
      <c r="G114" s="169">
        <f>SUMIFS('Egeninsats &amp; Poäng'!J:J,'Egeninsats &amp; Poäng'!C:C,"Sara Nilsson",'Egeninsats &amp; Poäng'!F:F,"F2")</f>
        <v/>
      </c>
      <c r="H114" s="170">
        <f>IFERROR(SUMIFS('Egeninsats &amp; Poäng'!K:K,'Egeninsats &amp; Poäng'!C:C,"Sara Nilsson",'Egeninsats &amp; Poäng'!F:F,"F2")/SUMIFS('Egeninsats &amp; Poäng'!G:G,'Egeninsats &amp; Poäng'!C:C,"Sara Nilsson",'Egeninsats &amp; Poäng'!F:F,"F2"),"")</f>
        <v/>
      </c>
      <c r="I114" s="171">
        <f>IFERROR(SUMIFS('Egeninsats &amp; Poäng'!L:L,'Egeninsats &amp; Poäng'!C:C,"Sara Nilsson",'Egeninsats &amp; Poäng'!F:F,"F2")/SUMIFS('Egeninsats &amp; Poäng'!G:G,'Egeninsats &amp; Poäng'!C:C,"Sara Nilsson",'Egeninsats &amp; Poäng'!F:F,"F2"),"")</f>
        <v/>
      </c>
      <c r="J114" s="172">
        <f>SUMIFS('Egeninsats &amp; Poäng'!M:M,'Egeninsats &amp; Poäng'!C:C,"Sara Nilsson",'Egeninsats &amp; Poäng'!F:F,"F2")</f>
        <v/>
      </c>
      <c r="K114" s="173">
        <f>IFERROR(J114/'Equity Dashboard'!E10,"")</f>
        <v/>
      </c>
    </row>
    <row r="115" ht="19.5" customHeight="1" s="87">
      <c r="B115" s="106" t="inlineStr">
        <is>
          <t>F3</t>
        </is>
      </c>
      <c r="C115" s="163">
        <f>Projektinställningar!C26</f>
        <v/>
      </c>
      <c r="D115" s="164">
        <f>SUMIFS('Egeninsats &amp; Poäng'!G:G,'Egeninsats &amp; Poäng'!C:C,"Sara Nilsson",'Egeninsats &amp; Poäng'!F:F,"F3")</f>
        <v/>
      </c>
      <c r="E115" s="164">
        <f>IFERROR(SUMIFS('Egeninsats &amp; Poäng'!H:H,'Egeninsats &amp; Poäng'!C:C,"Sara Nilsson",'Egeninsats &amp; Poäng'!F:F,"F3")/SUMIFS('Egeninsats &amp; Poäng'!G:G,'Egeninsats &amp; Poäng'!C:C,"Sara Nilsson",'Egeninsats &amp; Poäng'!F:F,"F3"),"")</f>
        <v/>
      </c>
      <c r="F115" s="164">
        <f>IFERROR(SUMIFS('Egeninsats &amp; Poäng'!I:I,'Egeninsats &amp; Poäng'!C:C,"Sara Nilsson",'Egeninsats &amp; Poäng'!F:F,"F3")/SUMIFS('Egeninsats &amp; Poäng'!G:G,'Egeninsats &amp; Poäng'!C:C,"Sara Nilsson",'Egeninsats &amp; Poäng'!F:F,"F3"),"")</f>
        <v/>
      </c>
      <c r="G115" s="164">
        <f>SUMIFS('Egeninsats &amp; Poäng'!J:J,'Egeninsats &amp; Poäng'!C:C,"Sara Nilsson",'Egeninsats &amp; Poäng'!F:F,"F3")</f>
        <v/>
      </c>
      <c r="H115" s="165">
        <f>IFERROR(SUMIFS('Egeninsats &amp; Poäng'!K:K,'Egeninsats &amp; Poäng'!C:C,"Sara Nilsson",'Egeninsats &amp; Poäng'!F:F,"F3")/SUMIFS('Egeninsats &amp; Poäng'!G:G,'Egeninsats &amp; Poäng'!C:C,"Sara Nilsson",'Egeninsats &amp; Poäng'!F:F,"F3"),"")</f>
        <v/>
      </c>
      <c r="I115" s="166">
        <f>IFERROR(SUMIFS('Egeninsats &amp; Poäng'!L:L,'Egeninsats &amp; Poäng'!C:C,"Sara Nilsson",'Egeninsats &amp; Poäng'!F:F,"F3")/SUMIFS('Egeninsats &amp; Poäng'!G:G,'Egeninsats &amp; Poäng'!C:C,"Sara Nilsson",'Egeninsats &amp; Poäng'!F:F,"F3"),"")</f>
        <v/>
      </c>
      <c r="J115" s="131">
        <f>SUMIFS('Egeninsats &amp; Poäng'!M:M,'Egeninsats &amp; Poäng'!C:C,"Sara Nilsson",'Egeninsats &amp; Poäng'!F:F,"F3")</f>
        <v/>
      </c>
      <c r="K115" s="167">
        <f>IFERROR(J115/'Equity Dashboard'!E10,"")</f>
        <v/>
      </c>
    </row>
    <row r="116" ht="19.5" customHeight="1" s="87">
      <c r="B116" s="111" t="inlineStr">
        <is>
          <t>F4</t>
        </is>
      </c>
      <c r="C116" s="168">
        <f>Projektinställningar!C27</f>
        <v/>
      </c>
      <c r="D116" s="169">
        <f>SUMIFS('Egeninsats &amp; Poäng'!G:G,'Egeninsats &amp; Poäng'!C:C,"Sara Nilsson",'Egeninsats &amp; Poäng'!F:F,"F4")</f>
        <v/>
      </c>
      <c r="E116" s="169">
        <f>IFERROR(SUMIFS('Egeninsats &amp; Poäng'!H:H,'Egeninsats &amp; Poäng'!C:C,"Sara Nilsson",'Egeninsats &amp; Poäng'!F:F,"F4")/SUMIFS('Egeninsats &amp; Poäng'!G:G,'Egeninsats &amp; Poäng'!C:C,"Sara Nilsson",'Egeninsats &amp; Poäng'!F:F,"F4"),"")</f>
        <v/>
      </c>
      <c r="F116" s="169">
        <f>IFERROR(SUMIFS('Egeninsats &amp; Poäng'!I:I,'Egeninsats &amp; Poäng'!C:C,"Sara Nilsson",'Egeninsats &amp; Poäng'!F:F,"F4")/SUMIFS('Egeninsats &amp; Poäng'!G:G,'Egeninsats &amp; Poäng'!C:C,"Sara Nilsson",'Egeninsats &amp; Poäng'!F:F,"F4"),"")</f>
        <v/>
      </c>
      <c r="G116" s="169">
        <f>SUMIFS('Egeninsats &amp; Poäng'!J:J,'Egeninsats &amp; Poäng'!C:C,"Sara Nilsson",'Egeninsats &amp; Poäng'!F:F,"F4")</f>
        <v/>
      </c>
      <c r="H116" s="170">
        <f>IFERROR(SUMIFS('Egeninsats &amp; Poäng'!K:K,'Egeninsats &amp; Poäng'!C:C,"Sara Nilsson",'Egeninsats &amp; Poäng'!F:F,"F4")/SUMIFS('Egeninsats &amp; Poäng'!G:G,'Egeninsats &amp; Poäng'!C:C,"Sara Nilsson",'Egeninsats &amp; Poäng'!F:F,"F4"),"")</f>
        <v/>
      </c>
      <c r="I116" s="171">
        <f>IFERROR(SUMIFS('Egeninsats &amp; Poäng'!L:L,'Egeninsats &amp; Poäng'!C:C,"Sara Nilsson",'Egeninsats &amp; Poäng'!F:F,"F4")/SUMIFS('Egeninsats &amp; Poäng'!G:G,'Egeninsats &amp; Poäng'!C:C,"Sara Nilsson",'Egeninsats &amp; Poäng'!F:F,"F4"),"")</f>
        <v/>
      </c>
      <c r="J116" s="172">
        <f>SUMIFS('Egeninsats &amp; Poäng'!M:M,'Egeninsats &amp; Poäng'!C:C,"Sara Nilsson",'Egeninsats &amp; Poäng'!F:F,"F4")</f>
        <v/>
      </c>
      <c r="K116" s="173">
        <f>IFERROR(J116/'Equity Dashboard'!E10,"")</f>
        <v/>
      </c>
    </row>
    <row r="117" ht="19.5" customHeight="1" s="87">
      <c r="B117" s="106" t="inlineStr">
        <is>
          <t>F5</t>
        </is>
      </c>
      <c r="C117" s="163">
        <f>Projektinställningar!C28</f>
        <v/>
      </c>
      <c r="D117" s="164">
        <f>SUMIFS('Egeninsats &amp; Poäng'!G:G,'Egeninsats &amp; Poäng'!C:C,"Sara Nilsson",'Egeninsats &amp; Poäng'!F:F,"F5")</f>
        <v/>
      </c>
      <c r="E117" s="164">
        <f>IFERROR(SUMIFS('Egeninsats &amp; Poäng'!H:H,'Egeninsats &amp; Poäng'!C:C,"Sara Nilsson",'Egeninsats &amp; Poäng'!F:F,"F5")/SUMIFS('Egeninsats &amp; Poäng'!G:G,'Egeninsats &amp; Poäng'!C:C,"Sara Nilsson",'Egeninsats &amp; Poäng'!F:F,"F5"),"")</f>
        <v/>
      </c>
      <c r="F117" s="164">
        <f>IFERROR(SUMIFS('Egeninsats &amp; Poäng'!I:I,'Egeninsats &amp; Poäng'!C:C,"Sara Nilsson",'Egeninsats &amp; Poäng'!F:F,"F5")/SUMIFS('Egeninsats &amp; Poäng'!G:G,'Egeninsats &amp; Poäng'!C:C,"Sara Nilsson",'Egeninsats &amp; Poäng'!F:F,"F5"),"")</f>
        <v/>
      </c>
      <c r="G117" s="164">
        <f>SUMIFS('Egeninsats &amp; Poäng'!J:J,'Egeninsats &amp; Poäng'!C:C,"Sara Nilsson",'Egeninsats &amp; Poäng'!F:F,"F5")</f>
        <v/>
      </c>
      <c r="H117" s="165">
        <f>IFERROR(SUMIFS('Egeninsats &amp; Poäng'!K:K,'Egeninsats &amp; Poäng'!C:C,"Sara Nilsson",'Egeninsats &amp; Poäng'!F:F,"F5")/SUMIFS('Egeninsats &amp; Poäng'!G:G,'Egeninsats &amp; Poäng'!C:C,"Sara Nilsson",'Egeninsats &amp; Poäng'!F:F,"F5"),"")</f>
        <v/>
      </c>
      <c r="I117" s="166">
        <f>IFERROR(SUMIFS('Egeninsats &amp; Poäng'!L:L,'Egeninsats &amp; Poäng'!C:C,"Sara Nilsson",'Egeninsats &amp; Poäng'!F:F,"F5")/SUMIFS('Egeninsats &amp; Poäng'!G:G,'Egeninsats &amp; Poäng'!C:C,"Sara Nilsson",'Egeninsats &amp; Poäng'!F:F,"F5"),"")</f>
        <v/>
      </c>
      <c r="J117" s="131">
        <f>SUMIFS('Egeninsats &amp; Poäng'!M:M,'Egeninsats &amp; Poäng'!C:C,"Sara Nilsson",'Egeninsats &amp; Poäng'!F:F,"F5")</f>
        <v/>
      </c>
      <c r="K117" s="167">
        <f>IFERROR(J117/'Equity Dashboard'!E10,"")</f>
        <v/>
      </c>
    </row>
    <row r="118" ht="19.5" customHeight="1" s="87">
      <c r="B118" s="111" t="inlineStr">
        <is>
          <t>F6</t>
        </is>
      </c>
      <c r="C118" s="168">
        <f>Projektinställningar!C29</f>
        <v/>
      </c>
      <c r="D118" s="169">
        <f>SUMIFS('Egeninsats &amp; Poäng'!G:G,'Egeninsats &amp; Poäng'!C:C,"Sara Nilsson",'Egeninsats &amp; Poäng'!F:F,"F6")</f>
        <v/>
      </c>
      <c r="E118" s="169">
        <f>IFERROR(SUMIFS('Egeninsats &amp; Poäng'!H:H,'Egeninsats &amp; Poäng'!C:C,"Sara Nilsson",'Egeninsats &amp; Poäng'!F:F,"F6")/SUMIFS('Egeninsats &amp; Poäng'!G:G,'Egeninsats &amp; Poäng'!C:C,"Sara Nilsson",'Egeninsats &amp; Poäng'!F:F,"F6"),"")</f>
        <v/>
      </c>
      <c r="F118" s="169">
        <f>IFERROR(SUMIFS('Egeninsats &amp; Poäng'!I:I,'Egeninsats &amp; Poäng'!C:C,"Sara Nilsson",'Egeninsats &amp; Poäng'!F:F,"F6")/SUMIFS('Egeninsats &amp; Poäng'!G:G,'Egeninsats &amp; Poäng'!C:C,"Sara Nilsson",'Egeninsats &amp; Poäng'!F:F,"F6"),"")</f>
        <v/>
      </c>
      <c r="G118" s="169">
        <f>SUMIFS('Egeninsats &amp; Poäng'!J:J,'Egeninsats &amp; Poäng'!C:C,"Sara Nilsson",'Egeninsats &amp; Poäng'!F:F,"F6")</f>
        <v/>
      </c>
      <c r="H118" s="170">
        <f>IFERROR(SUMIFS('Egeninsats &amp; Poäng'!K:K,'Egeninsats &amp; Poäng'!C:C,"Sara Nilsson",'Egeninsats &amp; Poäng'!F:F,"F6")/SUMIFS('Egeninsats &amp; Poäng'!G:G,'Egeninsats &amp; Poäng'!C:C,"Sara Nilsson",'Egeninsats &amp; Poäng'!F:F,"F6"),"")</f>
        <v/>
      </c>
      <c r="I118" s="171">
        <f>IFERROR(SUMIFS('Egeninsats &amp; Poäng'!L:L,'Egeninsats &amp; Poäng'!C:C,"Sara Nilsson",'Egeninsats &amp; Poäng'!F:F,"F6")/SUMIFS('Egeninsats &amp; Poäng'!G:G,'Egeninsats &amp; Poäng'!C:C,"Sara Nilsson",'Egeninsats &amp; Poäng'!F:F,"F6"),"")</f>
        <v/>
      </c>
      <c r="J118" s="172">
        <f>SUMIFS('Egeninsats &amp; Poäng'!M:M,'Egeninsats &amp; Poäng'!C:C,"Sara Nilsson",'Egeninsats &amp; Poäng'!F:F,"F6")</f>
        <v/>
      </c>
      <c r="K118" s="173">
        <f>IFERROR(J118/'Equity Dashboard'!E10,"")</f>
        <v/>
      </c>
    </row>
    <row r="119" ht="19.5" customHeight="1" s="87">
      <c r="B119" s="106" t="inlineStr">
        <is>
          <t>F7</t>
        </is>
      </c>
      <c r="C119" s="163">
        <f>Projektinställningar!C30</f>
        <v/>
      </c>
      <c r="D119" s="164">
        <f>SUMIFS('Egeninsats &amp; Poäng'!G:G,'Egeninsats &amp; Poäng'!C:C,"Sara Nilsson",'Egeninsats &amp; Poäng'!F:F,"F7")</f>
        <v/>
      </c>
      <c r="E119" s="164">
        <f>IFERROR(SUMIFS('Egeninsats &amp; Poäng'!H:H,'Egeninsats &amp; Poäng'!C:C,"Sara Nilsson",'Egeninsats &amp; Poäng'!F:F,"F7")/SUMIFS('Egeninsats &amp; Poäng'!G:G,'Egeninsats &amp; Poäng'!C:C,"Sara Nilsson",'Egeninsats &amp; Poäng'!F:F,"F7"),"")</f>
        <v/>
      </c>
      <c r="F119" s="164">
        <f>IFERROR(SUMIFS('Egeninsats &amp; Poäng'!I:I,'Egeninsats &amp; Poäng'!C:C,"Sara Nilsson",'Egeninsats &amp; Poäng'!F:F,"F7")/SUMIFS('Egeninsats &amp; Poäng'!G:G,'Egeninsats &amp; Poäng'!C:C,"Sara Nilsson",'Egeninsats &amp; Poäng'!F:F,"F7"),"")</f>
        <v/>
      </c>
      <c r="G119" s="164">
        <f>SUMIFS('Egeninsats &amp; Poäng'!J:J,'Egeninsats &amp; Poäng'!C:C,"Sara Nilsson",'Egeninsats &amp; Poäng'!F:F,"F7")</f>
        <v/>
      </c>
      <c r="H119" s="165">
        <f>IFERROR(SUMIFS('Egeninsats &amp; Poäng'!K:K,'Egeninsats &amp; Poäng'!C:C,"Sara Nilsson",'Egeninsats &amp; Poäng'!F:F,"F7")/SUMIFS('Egeninsats &amp; Poäng'!G:G,'Egeninsats &amp; Poäng'!C:C,"Sara Nilsson",'Egeninsats &amp; Poäng'!F:F,"F7"),"")</f>
        <v/>
      </c>
      <c r="I119" s="166">
        <f>IFERROR(SUMIFS('Egeninsats &amp; Poäng'!L:L,'Egeninsats &amp; Poäng'!C:C,"Sara Nilsson",'Egeninsats &amp; Poäng'!F:F,"F7")/SUMIFS('Egeninsats &amp; Poäng'!G:G,'Egeninsats &amp; Poäng'!C:C,"Sara Nilsson",'Egeninsats &amp; Poäng'!F:F,"F7"),"")</f>
        <v/>
      </c>
      <c r="J119" s="131">
        <f>SUMIFS('Egeninsats &amp; Poäng'!M:M,'Egeninsats &amp; Poäng'!C:C,"Sara Nilsson",'Egeninsats &amp; Poäng'!F:F,"F7")</f>
        <v/>
      </c>
      <c r="K119" s="167">
        <f>IFERROR(J119/'Equity Dashboard'!E10,"")</f>
        <v/>
      </c>
    </row>
    <row r="120" ht="19.5" customHeight="1" s="87">
      <c r="B120" s="111" t="inlineStr">
        <is>
          <t>F8</t>
        </is>
      </c>
      <c r="C120" s="168">
        <f>Projektinställningar!C31</f>
        <v/>
      </c>
      <c r="D120" s="169">
        <f>SUMIFS('Egeninsats &amp; Poäng'!G:G,'Egeninsats &amp; Poäng'!C:C,"Sara Nilsson",'Egeninsats &amp; Poäng'!F:F,"F8")</f>
        <v/>
      </c>
      <c r="E120" s="169">
        <f>IFERROR(SUMIFS('Egeninsats &amp; Poäng'!H:H,'Egeninsats &amp; Poäng'!C:C,"Sara Nilsson",'Egeninsats &amp; Poäng'!F:F,"F8")/SUMIFS('Egeninsats &amp; Poäng'!G:G,'Egeninsats &amp; Poäng'!C:C,"Sara Nilsson",'Egeninsats &amp; Poäng'!F:F,"F8"),"")</f>
        <v/>
      </c>
      <c r="F120" s="169">
        <f>IFERROR(SUMIFS('Egeninsats &amp; Poäng'!I:I,'Egeninsats &amp; Poäng'!C:C,"Sara Nilsson",'Egeninsats &amp; Poäng'!F:F,"F8")/SUMIFS('Egeninsats &amp; Poäng'!G:G,'Egeninsats &amp; Poäng'!C:C,"Sara Nilsson",'Egeninsats &amp; Poäng'!F:F,"F8"),"")</f>
        <v/>
      </c>
      <c r="G120" s="169">
        <f>SUMIFS('Egeninsats &amp; Poäng'!J:J,'Egeninsats &amp; Poäng'!C:C,"Sara Nilsson",'Egeninsats &amp; Poäng'!F:F,"F8")</f>
        <v/>
      </c>
      <c r="H120" s="170">
        <f>IFERROR(SUMIFS('Egeninsats &amp; Poäng'!K:K,'Egeninsats &amp; Poäng'!C:C,"Sara Nilsson",'Egeninsats &amp; Poäng'!F:F,"F8")/SUMIFS('Egeninsats &amp; Poäng'!G:G,'Egeninsats &amp; Poäng'!C:C,"Sara Nilsson",'Egeninsats &amp; Poäng'!F:F,"F8"),"")</f>
        <v/>
      </c>
      <c r="I120" s="171">
        <f>IFERROR(SUMIFS('Egeninsats &amp; Poäng'!L:L,'Egeninsats &amp; Poäng'!C:C,"Sara Nilsson",'Egeninsats &amp; Poäng'!F:F,"F8")/SUMIFS('Egeninsats &amp; Poäng'!G:G,'Egeninsats &amp; Poäng'!C:C,"Sara Nilsson",'Egeninsats &amp; Poäng'!F:F,"F8"),"")</f>
        <v/>
      </c>
      <c r="J120" s="172">
        <f>SUMIFS('Egeninsats &amp; Poäng'!M:M,'Egeninsats &amp; Poäng'!C:C,"Sara Nilsson",'Egeninsats &amp; Poäng'!F:F,"F8")</f>
        <v/>
      </c>
      <c r="K120" s="173">
        <f>IFERROR(J120/'Equity Dashboard'!E10,"")</f>
        <v/>
      </c>
    </row>
    <row r="121" ht="21.75" customHeight="1" s="87">
      <c r="B121" s="174" t="inlineStr">
        <is>
          <t>TOTALT</t>
        </is>
      </c>
      <c r="C121" s="100" t="n"/>
      <c r="D121" s="175">
        <f>SUM(D113:D120)</f>
        <v/>
      </c>
      <c r="E121" s="176" t="n"/>
      <c r="F121" s="176" t="n"/>
      <c r="G121" s="175">
        <f>SUM(G113:G120)</f>
        <v/>
      </c>
      <c r="H121" s="176" t="n"/>
      <c r="I121" s="176" t="n"/>
      <c r="J121" s="177">
        <f>SUM(J113:J120)</f>
        <v/>
      </c>
      <c r="K121" s="176" t="n"/>
    </row>
    <row r="122" ht="12" customHeight="1" s="87"/>
    <row r="123" ht="19.5" customHeight="1" s="87">
      <c r="B123" s="159" t="inlineStr">
        <is>
          <t>DIN ANDEL I RECOUPMENT-VATTENFALLET</t>
        </is>
      </c>
      <c r="C123" s="99" t="n"/>
      <c r="D123" s="99" t="n"/>
      <c r="E123" s="99" t="n"/>
      <c r="F123" s="99" t="n"/>
      <c r="G123" s="99" t="n"/>
      <c r="H123" s="99" t="n"/>
      <c r="I123" s="99" t="n"/>
      <c r="J123" s="99" t="n"/>
      <c r="K123" s="100" t="n"/>
    </row>
    <row r="124" ht="27.75" customHeight="1" s="87">
      <c r="B124" s="178" t="inlineStr">
        <is>
          <t>Din ägarandel (%) multipliceras med Crew-poolen (50% av netto efter distribution, finansiär och deferred fees).</t>
        </is>
      </c>
    </row>
    <row r="125" ht="30" customHeight="1" s="87">
      <c r="B125" s="151" t="inlineStr">
        <is>
          <t>Scenario A
(Litet utfall)</t>
        </is>
      </c>
      <c r="C125" s="99" t="n"/>
      <c r="D125" s="100" t="n"/>
      <c r="E125" s="151" t="inlineStr">
        <is>
          <t>Scenario B
(Mellant)</t>
        </is>
      </c>
      <c r="F125" s="99" t="n"/>
      <c r="G125" s="100" t="n"/>
      <c r="H125" s="151" t="inlineStr">
        <is>
          <t>Scenario C
(Stort utfall)</t>
        </is>
      </c>
      <c r="I125" s="99" t="n"/>
      <c r="J125" s="100" t="n"/>
    </row>
    <row r="126" ht="19.5" customHeight="1" s="87">
      <c r="B126" s="179" t="inlineStr">
        <is>
          <t>Crew-pool:</t>
        </is>
      </c>
      <c r="C126" s="99" t="n"/>
      <c r="D126" s="100" t="n"/>
      <c r="E126" s="179" t="inlineStr">
        <is>
          <t>Crew-pool:</t>
        </is>
      </c>
      <c r="F126" s="99" t="n"/>
      <c r="G126" s="100" t="n"/>
      <c r="H126" s="179" t="inlineStr">
        <is>
          <t>Crew-pool:</t>
        </is>
      </c>
      <c r="I126" s="99" t="n"/>
      <c r="J126" s="100" t="n"/>
    </row>
    <row r="127" ht="36" customHeight="1" s="87">
      <c r="B127" s="179">
        <f>'Waterfall Simulering'!D22</f>
        <v/>
      </c>
      <c r="C127" s="99" t="n"/>
      <c r="D127" s="100" t="n"/>
      <c r="E127" s="179">
        <f>'Waterfall Simulering'!E22</f>
        <v/>
      </c>
      <c r="F127" s="99" t="n"/>
      <c r="G127" s="100" t="n"/>
      <c r="H127" s="179">
        <f>'Waterfall Simulering'!F22</f>
        <v/>
      </c>
      <c r="I127" s="99" t="n"/>
      <c r="J127" s="100" t="n"/>
    </row>
    <row r="128" ht="12" customHeight="1" s="87">
      <c r="B128" s="180">
        <f>'Equity Dashboard'!F10*'Waterfall Simulering'!D22</f>
        <v/>
      </c>
      <c r="E128" s="180">
        <f>'Equity Dashboard'!F10*'Waterfall Simulering'!E22</f>
        <v/>
      </c>
      <c r="H128" s="180">
        <f>'Equity Dashboard'!F10*'Waterfall Simulering'!F22</f>
        <v/>
      </c>
    </row>
    <row r="129" ht="15.75" customHeight="1" s="87">
      <c r="B129" s="181" t="inlineStr">
        <is>
          <t>Detta utdrag är konfidentiellt och avsett enbart för mottagaren. Utfärdat av producenten.</t>
        </is>
      </c>
    </row>
    <row r="132" ht="4.5" customHeight="1" s="87"/>
    <row r="133" ht="7.5" customHeight="1" s="87"/>
    <row r="134" ht="24" customHeight="1" s="87">
      <c r="B134" s="156">
        <f>Projektinställningar!C5</f>
        <v/>
      </c>
    </row>
    <row r="135" ht="18" customHeight="1" s="87">
      <c r="B135" s="157" t="inlineStr">
        <is>
          <t>Ägarandelsutdrag — Samägande filmproduktion</t>
        </is>
      </c>
    </row>
    <row r="136" ht="6" customHeight="1" s="87">
      <c r="B136" s="90" t="n"/>
      <c r="C136" s="90" t="n"/>
      <c r="D136" s="90" t="n"/>
      <c r="E136" s="90" t="n"/>
      <c r="F136" s="90" t="n"/>
      <c r="G136" s="90" t="n"/>
      <c r="H136" s="90" t="n"/>
      <c r="I136" s="90" t="n"/>
      <c r="J136" s="90" t="n"/>
      <c r="K136" s="90" t="n"/>
    </row>
    <row r="137" ht="9.75" customHeight="1" s="87"/>
    <row r="138" ht="27.75" customHeight="1" s="87">
      <c r="B138" s="88" t="inlineStr">
        <is>
          <t>Lena Berg</t>
        </is>
      </c>
    </row>
    <row r="139" ht="18" customHeight="1" s="87">
      <c r="B139" s="158" t="inlineStr">
        <is>
          <t>Scenograf</t>
        </is>
      </c>
    </row>
    <row r="140" ht="7.5" customHeight="1" s="87"/>
    <row r="141" ht="18" customHeight="1" s="87">
      <c r="B141" s="159" t="inlineStr">
        <is>
          <t>TOTALT DEFERRED (SEK)</t>
        </is>
      </c>
      <c r="C141" s="99" t="n"/>
      <c r="D141" s="100" t="n"/>
      <c r="E141" s="159" t="inlineStr">
        <is>
          <t>TOTALA POÄNG</t>
        </is>
      </c>
      <c r="F141" s="99" t="n"/>
      <c r="G141" s="100" t="n"/>
      <c r="H141" s="159" t="inlineStr">
        <is>
          <t>ÄGARANDEL</t>
        </is>
      </c>
      <c r="I141" s="99" t="n"/>
      <c r="J141" s="100" t="n"/>
    </row>
    <row r="142" ht="31.5" customHeight="1" s="87">
      <c r="B142" s="160">
        <f>'Equity Dashboard'!D11</f>
        <v/>
      </c>
      <c r="C142" s="99" t="n"/>
      <c r="D142" s="100" t="n"/>
      <c r="E142" s="161">
        <f>'Equity Dashboard'!E11</f>
        <v/>
      </c>
      <c r="F142" s="99" t="n"/>
      <c r="G142" s="100" t="n"/>
      <c r="H142" s="162">
        <f>'Equity Dashboard'!F11</f>
        <v/>
      </c>
      <c r="I142" s="99" t="n"/>
      <c r="J142" s="100" t="n"/>
    </row>
    <row r="143" ht="12" customHeight="1" s="87"/>
    <row r="144" ht="19.5" customHeight="1" s="87">
      <c r="B144" s="159" t="inlineStr">
        <is>
          <t>POÄNGHISTORIK PER FAS</t>
        </is>
      </c>
      <c r="C144" s="99" t="n"/>
      <c r="D144" s="99" t="n"/>
      <c r="E144" s="99" t="n"/>
      <c r="F144" s="99" t="n"/>
      <c r="G144" s="99" t="n"/>
      <c r="H144" s="99" t="n"/>
      <c r="I144" s="99" t="n"/>
      <c r="J144" s="99" t="n"/>
      <c r="K144" s="100" t="n"/>
    </row>
    <row r="145" ht="30" customHeight="1" s="87">
      <c r="B145" s="145" t="inlineStr">
        <is>
          <t>Fas</t>
        </is>
      </c>
      <c r="C145" s="145" t="inlineStr">
        <is>
          <t>Benämning</t>
        </is>
      </c>
      <c r="D145" s="145" t="inlineStr">
        <is>
          <t>Dagar</t>
        </is>
      </c>
      <c r="E145" s="145" t="inlineStr">
        <is>
          <t>Cash Fee/dag</t>
        </is>
      </c>
      <c r="F145" s="145" t="inlineStr">
        <is>
          <t>Markn.pris/dag</t>
        </is>
      </c>
      <c r="G145" s="145" t="inlineStr">
        <is>
          <t>Deferred (SEK)</t>
        </is>
      </c>
      <c r="H145" s="145" t="inlineStr">
        <is>
          <t>Grundp./dag</t>
        </is>
      </c>
      <c r="I145" s="145" t="inlineStr">
        <is>
          <t>Klassmult.</t>
        </is>
      </c>
      <c r="J145" s="145" t="inlineStr">
        <is>
          <t>Poäng</t>
        </is>
      </c>
      <c r="K145" s="145" t="inlineStr">
        <is>
          <t>Andel av egna</t>
        </is>
      </c>
    </row>
    <row r="146" ht="19.5" customHeight="1" s="87">
      <c r="B146" s="106" t="inlineStr">
        <is>
          <t>F1</t>
        </is>
      </c>
      <c r="C146" s="163">
        <f>Projektinställningar!C24</f>
        <v/>
      </c>
      <c r="D146" s="164">
        <f>SUMIFS('Egeninsats &amp; Poäng'!G:G,'Egeninsats &amp; Poäng'!C:C,"Lena Berg",'Egeninsats &amp; Poäng'!F:F,"F1")</f>
        <v/>
      </c>
      <c r="E146" s="164">
        <f>IFERROR(SUMIFS('Egeninsats &amp; Poäng'!H:H,'Egeninsats &amp; Poäng'!C:C,"Lena Berg",'Egeninsats &amp; Poäng'!F:F,"F1")/SUMIFS('Egeninsats &amp; Poäng'!G:G,'Egeninsats &amp; Poäng'!C:C,"Lena Berg",'Egeninsats &amp; Poäng'!F:F,"F1"),"")</f>
        <v/>
      </c>
      <c r="F146" s="164">
        <f>IFERROR(SUMIFS('Egeninsats &amp; Poäng'!I:I,'Egeninsats &amp; Poäng'!C:C,"Lena Berg",'Egeninsats &amp; Poäng'!F:F,"F1")/SUMIFS('Egeninsats &amp; Poäng'!G:G,'Egeninsats &amp; Poäng'!C:C,"Lena Berg",'Egeninsats &amp; Poäng'!F:F,"F1"),"")</f>
        <v/>
      </c>
      <c r="G146" s="164">
        <f>SUMIFS('Egeninsats &amp; Poäng'!J:J,'Egeninsats &amp; Poäng'!C:C,"Lena Berg",'Egeninsats &amp; Poäng'!F:F,"F1")</f>
        <v/>
      </c>
      <c r="H146" s="165">
        <f>IFERROR(SUMIFS('Egeninsats &amp; Poäng'!K:K,'Egeninsats &amp; Poäng'!C:C,"Lena Berg",'Egeninsats &amp; Poäng'!F:F,"F1")/SUMIFS('Egeninsats &amp; Poäng'!G:G,'Egeninsats &amp; Poäng'!C:C,"Lena Berg",'Egeninsats &amp; Poäng'!F:F,"F1"),"")</f>
        <v/>
      </c>
      <c r="I146" s="166">
        <f>IFERROR(SUMIFS('Egeninsats &amp; Poäng'!L:L,'Egeninsats &amp; Poäng'!C:C,"Lena Berg",'Egeninsats &amp; Poäng'!F:F,"F1")/SUMIFS('Egeninsats &amp; Poäng'!G:G,'Egeninsats &amp; Poäng'!C:C,"Lena Berg",'Egeninsats &amp; Poäng'!F:F,"F1"),"")</f>
        <v/>
      </c>
      <c r="J146" s="131">
        <f>SUMIFS('Egeninsats &amp; Poäng'!M:M,'Egeninsats &amp; Poäng'!C:C,"Lena Berg",'Egeninsats &amp; Poäng'!F:F,"F1")</f>
        <v/>
      </c>
      <c r="K146" s="167">
        <f>IFERROR(J146/'Equity Dashboard'!E11,"")</f>
        <v/>
      </c>
    </row>
    <row r="147" ht="19.5" customHeight="1" s="87">
      <c r="B147" s="111" t="inlineStr">
        <is>
          <t>F2</t>
        </is>
      </c>
      <c r="C147" s="168">
        <f>Projektinställningar!C25</f>
        <v/>
      </c>
      <c r="D147" s="169">
        <f>SUMIFS('Egeninsats &amp; Poäng'!G:G,'Egeninsats &amp; Poäng'!C:C,"Lena Berg",'Egeninsats &amp; Poäng'!F:F,"F2")</f>
        <v/>
      </c>
      <c r="E147" s="169">
        <f>IFERROR(SUMIFS('Egeninsats &amp; Poäng'!H:H,'Egeninsats &amp; Poäng'!C:C,"Lena Berg",'Egeninsats &amp; Poäng'!F:F,"F2")/SUMIFS('Egeninsats &amp; Poäng'!G:G,'Egeninsats &amp; Poäng'!C:C,"Lena Berg",'Egeninsats &amp; Poäng'!F:F,"F2"),"")</f>
        <v/>
      </c>
      <c r="F147" s="169">
        <f>IFERROR(SUMIFS('Egeninsats &amp; Poäng'!I:I,'Egeninsats &amp; Poäng'!C:C,"Lena Berg",'Egeninsats &amp; Poäng'!F:F,"F2")/SUMIFS('Egeninsats &amp; Poäng'!G:G,'Egeninsats &amp; Poäng'!C:C,"Lena Berg",'Egeninsats &amp; Poäng'!F:F,"F2"),"")</f>
        <v/>
      </c>
      <c r="G147" s="169">
        <f>SUMIFS('Egeninsats &amp; Poäng'!J:J,'Egeninsats &amp; Poäng'!C:C,"Lena Berg",'Egeninsats &amp; Poäng'!F:F,"F2")</f>
        <v/>
      </c>
      <c r="H147" s="170">
        <f>IFERROR(SUMIFS('Egeninsats &amp; Poäng'!K:K,'Egeninsats &amp; Poäng'!C:C,"Lena Berg",'Egeninsats &amp; Poäng'!F:F,"F2")/SUMIFS('Egeninsats &amp; Poäng'!G:G,'Egeninsats &amp; Poäng'!C:C,"Lena Berg",'Egeninsats &amp; Poäng'!F:F,"F2"),"")</f>
        <v/>
      </c>
      <c r="I147" s="171">
        <f>IFERROR(SUMIFS('Egeninsats &amp; Poäng'!L:L,'Egeninsats &amp; Poäng'!C:C,"Lena Berg",'Egeninsats &amp; Poäng'!F:F,"F2")/SUMIFS('Egeninsats &amp; Poäng'!G:G,'Egeninsats &amp; Poäng'!C:C,"Lena Berg",'Egeninsats &amp; Poäng'!F:F,"F2"),"")</f>
        <v/>
      </c>
      <c r="J147" s="172">
        <f>SUMIFS('Egeninsats &amp; Poäng'!M:M,'Egeninsats &amp; Poäng'!C:C,"Lena Berg",'Egeninsats &amp; Poäng'!F:F,"F2")</f>
        <v/>
      </c>
      <c r="K147" s="173">
        <f>IFERROR(J147/'Equity Dashboard'!E11,"")</f>
        <v/>
      </c>
    </row>
    <row r="148" ht="19.5" customHeight="1" s="87">
      <c r="B148" s="106" t="inlineStr">
        <is>
          <t>F3</t>
        </is>
      </c>
      <c r="C148" s="163">
        <f>Projektinställningar!C26</f>
        <v/>
      </c>
      <c r="D148" s="164">
        <f>SUMIFS('Egeninsats &amp; Poäng'!G:G,'Egeninsats &amp; Poäng'!C:C,"Lena Berg",'Egeninsats &amp; Poäng'!F:F,"F3")</f>
        <v/>
      </c>
      <c r="E148" s="164">
        <f>IFERROR(SUMIFS('Egeninsats &amp; Poäng'!H:H,'Egeninsats &amp; Poäng'!C:C,"Lena Berg",'Egeninsats &amp; Poäng'!F:F,"F3")/SUMIFS('Egeninsats &amp; Poäng'!G:G,'Egeninsats &amp; Poäng'!C:C,"Lena Berg",'Egeninsats &amp; Poäng'!F:F,"F3"),"")</f>
        <v/>
      </c>
      <c r="F148" s="164">
        <f>IFERROR(SUMIFS('Egeninsats &amp; Poäng'!I:I,'Egeninsats &amp; Poäng'!C:C,"Lena Berg",'Egeninsats &amp; Poäng'!F:F,"F3")/SUMIFS('Egeninsats &amp; Poäng'!G:G,'Egeninsats &amp; Poäng'!C:C,"Lena Berg",'Egeninsats &amp; Poäng'!F:F,"F3"),"")</f>
        <v/>
      </c>
      <c r="G148" s="164">
        <f>SUMIFS('Egeninsats &amp; Poäng'!J:J,'Egeninsats &amp; Poäng'!C:C,"Lena Berg",'Egeninsats &amp; Poäng'!F:F,"F3")</f>
        <v/>
      </c>
      <c r="H148" s="165">
        <f>IFERROR(SUMIFS('Egeninsats &amp; Poäng'!K:K,'Egeninsats &amp; Poäng'!C:C,"Lena Berg",'Egeninsats &amp; Poäng'!F:F,"F3")/SUMIFS('Egeninsats &amp; Poäng'!G:G,'Egeninsats &amp; Poäng'!C:C,"Lena Berg",'Egeninsats &amp; Poäng'!F:F,"F3"),"")</f>
        <v/>
      </c>
      <c r="I148" s="166">
        <f>IFERROR(SUMIFS('Egeninsats &amp; Poäng'!L:L,'Egeninsats &amp; Poäng'!C:C,"Lena Berg",'Egeninsats &amp; Poäng'!F:F,"F3")/SUMIFS('Egeninsats &amp; Poäng'!G:G,'Egeninsats &amp; Poäng'!C:C,"Lena Berg",'Egeninsats &amp; Poäng'!F:F,"F3"),"")</f>
        <v/>
      </c>
      <c r="J148" s="131">
        <f>SUMIFS('Egeninsats &amp; Poäng'!M:M,'Egeninsats &amp; Poäng'!C:C,"Lena Berg",'Egeninsats &amp; Poäng'!F:F,"F3")</f>
        <v/>
      </c>
      <c r="K148" s="167">
        <f>IFERROR(J148/'Equity Dashboard'!E11,"")</f>
        <v/>
      </c>
    </row>
    <row r="149" ht="19.5" customHeight="1" s="87">
      <c r="B149" s="111" t="inlineStr">
        <is>
          <t>F4</t>
        </is>
      </c>
      <c r="C149" s="168">
        <f>Projektinställningar!C27</f>
        <v/>
      </c>
      <c r="D149" s="169">
        <f>SUMIFS('Egeninsats &amp; Poäng'!G:G,'Egeninsats &amp; Poäng'!C:C,"Lena Berg",'Egeninsats &amp; Poäng'!F:F,"F4")</f>
        <v/>
      </c>
      <c r="E149" s="169">
        <f>IFERROR(SUMIFS('Egeninsats &amp; Poäng'!H:H,'Egeninsats &amp; Poäng'!C:C,"Lena Berg",'Egeninsats &amp; Poäng'!F:F,"F4")/SUMIFS('Egeninsats &amp; Poäng'!G:G,'Egeninsats &amp; Poäng'!C:C,"Lena Berg",'Egeninsats &amp; Poäng'!F:F,"F4"),"")</f>
        <v/>
      </c>
      <c r="F149" s="169">
        <f>IFERROR(SUMIFS('Egeninsats &amp; Poäng'!I:I,'Egeninsats &amp; Poäng'!C:C,"Lena Berg",'Egeninsats &amp; Poäng'!F:F,"F4")/SUMIFS('Egeninsats &amp; Poäng'!G:G,'Egeninsats &amp; Poäng'!C:C,"Lena Berg",'Egeninsats &amp; Poäng'!F:F,"F4"),"")</f>
        <v/>
      </c>
      <c r="G149" s="169">
        <f>SUMIFS('Egeninsats &amp; Poäng'!J:J,'Egeninsats &amp; Poäng'!C:C,"Lena Berg",'Egeninsats &amp; Poäng'!F:F,"F4")</f>
        <v/>
      </c>
      <c r="H149" s="170">
        <f>IFERROR(SUMIFS('Egeninsats &amp; Poäng'!K:K,'Egeninsats &amp; Poäng'!C:C,"Lena Berg",'Egeninsats &amp; Poäng'!F:F,"F4")/SUMIFS('Egeninsats &amp; Poäng'!G:G,'Egeninsats &amp; Poäng'!C:C,"Lena Berg",'Egeninsats &amp; Poäng'!F:F,"F4"),"")</f>
        <v/>
      </c>
      <c r="I149" s="171">
        <f>IFERROR(SUMIFS('Egeninsats &amp; Poäng'!L:L,'Egeninsats &amp; Poäng'!C:C,"Lena Berg",'Egeninsats &amp; Poäng'!F:F,"F4")/SUMIFS('Egeninsats &amp; Poäng'!G:G,'Egeninsats &amp; Poäng'!C:C,"Lena Berg",'Egeninsats &amp; Poäng'!F:F,"F4"),"")</f>
        <v/>
      </c>
      <c r="J149" s="172">
        <f>SUMIFS('Egeninsats &amp; Poäng'!M:M,'Egeninsats &amp; Poäng'!C:C,"Lena Berg",'Egeninsats &amp; Poäng'!F:F,"F4")</f>
        <v/>
      </c>
      <c r="K149" s="173">
        <f>IFERROR(J149/'Equity Dashboard'!E11,"")</f>
        <v/>
      </c>
    </row>
    <row r="150" ht="19.5" customHeight="1" s="87">
      <c r="B150" s="106" t="inlineStr">
        <is>
          <t>F5</t>
        </is>
      </c>
      <c r="C150" s="163">
        <f>Projektinställningar!C28</f>
        <v/>
      </c>
      <c r="D150" s="164">
        <f>SUMIFS('Egeninsats &amp; Poäng'!G:G,'Egeninsats &amp; Poäng'!C:C,"Lena Berg",'Egeninsats &amp; Poäng'!F:F,"F5")</f>
        <v/>
      </c>
      <c r="E150" s="164">
        <f>IFERROR(SUMIFS('Egeninsats &amp; Poäng'!H:H,'Egeninsats &amp; Poäng'!C:C,"Lena Berg",'Egeninsats &amp; Poäng'!F:F,"F5")/SUMIFS('Egeninsats &amp; Poäng'!G:G,'Egeninsats &amp; Poäng'!C:C,"Lena Berg",'Egeninsats &amp; Poäng'!F:F,"F5"),"")</f>
        <v/>
      </c>
      <c r="F150" s="164">
        <f>IFERROR(SUMIFS('Egeninsats &amp; Poäng'!I:I,'Egeninsats &amp; Poäng'!C:C,"Lena Berg",'Egeninsats &amp; Poäng'!F:F,"F5")/SUMIFS('Egeninsats &amp; Poäng'!G:G,'Egeninsats &amp; Poäng'!C:C,"Lena Berg",'Egeninsats &amp; Poäng'!F:F,"F5"),"")</f>
        <v/>
      </c>
      <c r="G150" s="164">
        <f>SUMIFS('Egeninsats &amp; Poäng'!J:J,'Egeninsats &amp; Poäng'!C:C,"Lena Berg",'Egeninsats &amp; Poäng'!F:F,"F5")</f>
        <v/>
      </c>
      <c r="H150" s="165">
        <f>IFERROR(SUMIFS('Egeninsats &amp; Poäng'!K:K,'Egeninsats &amp; Poäng'!C:C,"Lena Berg",'Egeninsats &amp; Poäng'!F:F,"F5")/SUMIFS('Egeninsats &amp; Poäng'!G:G,'Egeninsats &amp; Poäng'!C:C,"Lena Berg",'Egeninsats &amp; Poäng'!F:F,"F5"),"")</f>
        <v/>
      </c>
      <c r="I150" s="166">
        <f>IFERROR(SUMIFS('Egeninsats &amp; Poäng'!L:L,'Egeninsats &amp; Poäng'!C:C,"Lena Berg",'Egeninsats &amp; Poäng'!F:F,"F5")/SUMIFS('Egeninsats &amp; Poäng'!G:G,'Egeninsats &amp; Poäng'!C:C,"Lena Berg",'Egeninsats &amp; Poäng'!F:F,"F5"),"")</f>
        <v/>
      </c>
      <c r="J150" s="131">
        <f>SUMIFS('Egeninsats &amp; Poäng'!M:M,'Egeninsats &amp; Poäng'!C:C,"Lena Berg",'Egeninsats &amp; Poäng'!F:F,"F5")</f>
        <v/>
      </c>
      <c r="K150" s="167">
        <f>IFERROR(J150/'Equity Dashboard'!E11,"")</f>
        <v/>
      </c>
    </row>
    <row r="151" ht="19.5" customHeight="1" s="87">
      <c r="B151" s="111" t="inlineStr">
        <is>
          <t>F6</t>
        </is>
      </c>
      <c r="C151" s="168">
        <f>Projektinställningar!C29</f>
        <v/>
      </c>
      <c r="D151" s="169">
        <f>SUMIFS('Egeninsats &amp; Poäng'!G:G,'Egeninsats &amp; Poäng'!C:C,"Lena Berg",'Egeninsats &amp; Poäng'!F:F,"F6")</f>
        <v/>
      </c>
      <c r="E151" s="169">
        <f>IFERROR(SUMIFS('Egeninsats &amp; Poäng'!H:H,'Egeninsats &amp; Poäng'!C:C,"Lena Berg",'Egeninsats &amp; Poäng'!F:F,"F6")/SUMIFS('Egeninsats &amp; Poäng'!G:G,'Egeninsats &amp; Poäng'!C:C,"Lena Berg",'Egeninsats &amp; Poäng'!F:F,"F6"),"")</f>
        <v/>
      </c>
      <c r="F151" s="169">
        <f>IFERROR(SUMIFS('Egeninsats &amp; Poäng'!I:I,'Egeninsats &amp; Poäng'!C:C,"Lena Berg",'Egeninsats &amp; Poäng'!F:F,"F6")/SUMIFS('Egeninsats &amp; Poäng'!G:G,'Egeninsats &amp; Poäng'!C:C,"Lena Berg",'Egeninsats &amp; Poäng'!F:F,"F6"),"")</f>
        <v/>
      </c>
      <c r="G151" s="169">
        <f>SUMIFS('Egeninsats &amp; Poäng'!J:J,'Egeninsats &amp; Poäng'!C:C,"Lena Berg",'Egeninsats &amp; Poäng'!F:F,"F6")</f>
        <v/>
      </c>
      <c r="H151" s="170">
        <f>IFERROR(SUMIFS('Egeninsats &amp; Poäng'!K:K,'Egeninsats &amp; Poäng'!C:C,"Lena Berg",'Egeninsats &amp; Poäng'!F:F,"F6")/SUMIFS('Egeninsats &amp; Poäng'!G:G,'Egeninsats &amp; Poäng'!C:C,"Lena Berg",'Egeninsats &amp; Poäng'!F:F,"F6"),"")</f>
        <v/>
      </c>
      <c r="I151" s="171">
        <f>IFERROR(SUMIFS('Egeninsats &amp; Poäng'!L:L,'Egeninsats &amp; Poäng'!C:C,"Lena Berg",'Egeninsats &amp; Poäng'!F:F,"F6")/SUMIFS('Egeninsats &amp; Poäng'!G:G,'Egeninsats &amp; Poäng'!C:C,"Lena Berg",'Egeninsats &amp; Poäng'!F:F,"F6"),"")</f>
        <v/>
      </c>
      <c r="J151" s="172">
        <f>SUMIFS('Egeninsats &amp; Poäng'!M:M,'Egeninsats &amp; Poäng'!C:C,"Lena Berg",'Egeninsats &amp; Poäng'!F:F,"F6")</f>
        <v/>
      </c>
      <c r="K151" s="173">
        <f>IFERROR(J151/'Equity Dashboard'!E11,"")</f>
        <v/>
      </c>
    </row>
    <row r="152" ht="19.5" customHeight="1" s="87">
      <c r="B152" s="106" t="inlineStr">
        <is>
          <t>F7</t>
        </is>
      </c>
      <c r="C152" s="163">
        <f>Projektinställningar!C30</f>
        <v/>
      </c>
      <c r="D152" s="164">
        <f>SUMIFS('Egeninsats &amp; Poäng'!G:G,'Egeninsats &amp; Poäng'!C:C,"Lena Berg",'Egeninsats &amp; Poäng'!F:F,"F7")</f>
        <v/>
      </c>
      <c r="E152" s="164">
        <f>IFERROR(SUMIFS('Egeninsats &amp; Poäng'!H:H,'Egeninsats &amp; Poäng'!C:C,"Lena Berg",'Egeninsats &amp; Poäng'!F:F,"F7")/SUMIFS('Egeninsats &amp; Poäng'!G:G,'Egeninsats &amp; Poäng'!C:C,"Lena Berg",'Egeninsats &amp; Poäng'!F:F,"F7"),"")</f>
        <v/>
      </c>
      <c r="F152" s="164">
        <f>IFERROR(SUMIFS('Egeninsats &amp; Poäng'!I:I,'Egeninsats &amp; Poäng'!C:C,"Lena Berg",'Egeninsats &amp; Poäng'!F:F,"F7")/SUMIFS('Egeninsats &amp; Poäng'!G:G,'Egeninsats &amp; Poäng'!C:C,"Lena Berg",'Egeninsats &amp; Poäng'!F:F,"F7"),"")</f>
        <v/>
      </c>
      <c r="G152" s="164">
        <f>SUMIFS('Egeninsats &amp; Poäng'!J:J,'Egeninsats &amp; Poäng'!C:C,"Lena Berg",'Egeninsats &amp; Poäng'!F:F,"F7")</f>
        <v/>
      </c>
      <c r="H152" s="165">
        <f>IFERROR(SUMIFS('Egeninsats &amp; Poäng'!K:K,'Egeninsats &amp; Poäng'!C:C,"Lena Berg",'Egeninsats &amp; Poäng'!F:F,"F7")/SUMIFS('Egeninsats &amp; Poäng'!G:G,'Egeninsats &amp; Poäng'!C:C,"Lena Berg",'Egeninsats &amp; Poäng'!F:F,"F7"),"")</f>
        <v/>
      </c>
      <c r="I152" s="166">
        <f>IFERROR(SUMIFS('Egeninsats &amp; Poäng'!L:L,'Egeninsats &amp; Poäng'!C:C,"Lena Berg",'Egeninsats &amp; Poäng'!F:F,"F7")/SUMIFS('Egeninsats &amp; Poäng'!G:G,'Egeninsats &amp; Poäng'!C:C,"Lena Berg",'Egeninsats &amp; Poäng'!F:F,"F7"),"")</f>
        <v/>
      </c>
      <c r="J152" s="131">
        <f>SUMIFS('Egeninsats &amp; Poäng'!M:M,'Egeninsats &amp; Poäng'!C:C,"Lena Berg",'Egeninsats &amp; Poäng'!F:F,"F7")</f>
        <v/>
      </c>
      <c r="K152" s="167">
        <f>IFERROR(J152/'Equity Dashboard'!E11,"")</f>
        <v/>
      </c>
    </row>
    <row r="153" ht="19.5" customHeight="1" s="87">
      <c r="B153" s="111" t="inlineStr">
        <is>
          <t>F8</t>
        </is>
      </c>
      <c r="C153" s="168">
        <f>Projektinställningar!C31</f>
        <v/>
      </c>
      <c r="D153" s="169">
        <f>SUMIFS('Egeninsats &amp; Poäng'!G:G,'Egeninsats &amp; Poäng'!C:C,"Lena Berg",'Egeninsats &amp; Poäng'!F:F,"F8")</f>
        <v/>
      </c>
      <c r="E153" s="169">
        <f>IFERROR(SUMIFS('Egeninsats &amp; Poäng'!H:H,'Egeninsats &amp; Poäng'!C:C,"Lena Berg",'Egeninsats &amp; Poäng'!F:F,"F8")/SUMIFS('Egeninsats &amp; Poäng'!G:G,'Egeninsats &amp; Poäng'!C:C,"Lena Berg",'Egeninsats &amp; Poäng'!F:F,"F8"),"")</f>
        <v/>
      </c>
      <c r="F153" s="169">
        <f>IFERROR(SUMIFS('Egeninsats &amp; Poäng'!I:I,'Egeninsats &amp; Poäng'!C:C,"Lena Berg",'Egeninsats &amp; Poäng'!F:F,"F8")/SUMIFS('Egeninsats &amp; Poäng'!G:G,'Egeninsats &amp; Poäng'!C:C,"Lena Berg",'Egeninsats &amp; Poäng'!F:F,"F8"),"")</f>
        <v/>
      </c>
      <c r="G153" s="169">
        <f>SUMIFS('Egeninsats &amp; Poäng'!J:J,'Egeninsats &amp; Poäng'!C:C,"Lena Berg",'Egeninsats &amp; Poäng'!F:F,"F8")</f>
        <v/>
      </c>
      <c r="H153" s="170">
        <f>IFERROR(SUMIFS('Egeninsats &amp; Poäng'!K:K,'Egeninsats &amp; Poäng'!C:C,"Lena Berg",'Egeninsats &amp; Poäng'!F:F,"F8")/SUMIFS('Egeninsats &amp; Poäng'!G:G,'Egeninsats &amp; Poäng'!C:C,"Lena Berg",'Egeninsats &amp; Poäng'!F:F,"F8"),"")</f>
        <v/>
      </c>
      <c r="I153" s="171">
        <f>IFERROR(SUMIFS('Egeninsats &amp; Poäng'!L:L,'Egeninsats &amp; Poäng'!C:C,"Lena Berg",'Egeninsats &amp; Poäng'!F:F,"F8")/SUMIFS('Egeninsats &amp; Poäng'!G:G,'Egeninsats &amp; Poäng'!C:C,"Lena Berg",'Egeninsats &amp; Poäng'!F:F,"F8"),"")</f>
        <v/>
      </c>
      <c r="J153" s="172">
        <f>SUMIFS('Egeninsats &amp; Poäng'!M:M,'Egeninsats &amp; Poäng'!C:C,"Lena Berg",'Egeninsats &amp; Poäng'!F:F,"F8")</f>
        <v/>
      </c>
      <c r="K153" s="173">
        <f>IFERROR(J153/'Equity Dashboard'!E11,"")</f>
        <v/>
      </c>
    </row>
    <row r="154" ht="21.75" customHeight="1" s="87">
      <c r="B154" s="174" t="inlineStr">
        <is>
          <t>TOTALT</t>
        </is>
      </c>
      <c r="C154" s="100" t="n"/>
      <c r="D154" s="175">
        <f>SUM(D146:D153)</f>
        <v/>
      </c>
      <c r="E154" s="176" t="n"/>
      <c r="F154" s="176" t="n"/>
      <c r="G154" s="175">
        <f>SUM(G146:G153)</f>
        <v/>
      </c>
      <c r="H154" s="176" t="n"/>
      <c r="I154" s="176" t="n"/>
      <c r="J154" s="177">
        <f>SUM(J146:J153)</f>
        <v/>
      </c>
      <c r="K154" s="176" t="n"/>
    </row>
    <row r="155" ht="12" customHeight="1" s="87"/>
    <row r="156" ht="19.5" customHeight="1" s="87">
      <c r="B156" s="159" t="inlineStr">
        <is>
          <t>DIN ANDEL I RECOUPMENT-VATTENFALLET</t>
        </is>
      </c>
      <c r="C156" s="99" t="n"/>
      <c r="D156" s="99" t="n"/>
      <c r="E156" s="99" t="n"/>
      <c r="F156" s="99" t="n"/>
      <c r="G156" s="99" t="n"/>
      <c r="H156" s="99" t="n"/>
      <c r="I156" s="99" t="n"/>
      <c r="J156" s="99" t="n"/>
      <c r="K156" s="100" t="n"/>
    </row>
    <row r="157" ht="27.75" customHeight="1" s="87">
      <c r="B157" s="178" t="inlineStr">
        <is>
          <t>Din ägarandel (%) multipliceras med Crew-poolen (50% av netto efter distribution, finansiär och deferred fees).</t>
        </is>
      </c>
    </row>
    <row r="158" ht="30" customHeight="1" s="87">
      <c r="B158" s="151" t="inlineStr">
        <is>
          <t>Scenario A
(Litet utfall)</t>
        </is>
      </c>
      <c r="C158" s="99" t="n"/>
      <c r="D158" s="100" t="n"/>
      <c r="E158" s="151" t="inlineStr">
        <is>
          <t>Scenario B
(Mellant)</t>
        </is>
      </c>
      <c r="F158" s="99" t="n"/>
      <c r="G158" s="100" t="n"/>
      <c r="H158" s="151" t="inlineStr">
        <is>
          <t>Scenario C
(Stort utfall)</t>
        </is>
      </c>
      <c r="I158" s="99" t="n"/>
      <c r="J158" s="100" t="n"/>
    </row>
    <row r="159" ht="19.5" customHeight="1" s="87">
      <c r="B159" s="179" t="inlineStr">
        <is>
          <t>Crew-pool:</t>
        </is>
      </c>
      <c r="C159" s="99" t="n"/>
      <c r="D159" s="100" t="n"/>
      <c r="E159" s="179" t="inlineStr">
        <is>
          <t>Crew-pool:</t>
        </is>
      </c>
      <c r="F159" s="99" t="n"/>
      <c r="G159" s="100" t="n"/>
      <c r="H159" s="179" t="inlineStr">
        <is>
          <t>Crew-pool:</t>
        </is>
      </c>
      <c r="I159" s="99" t="n"/>
      <c r="J159" s="100" t="n"/>
    </row>
    <row r="160" ht="36" customHeight="1" s="87">
      <c r="B160" s="179">
        <f>'Waterfall Simulering'!D22</f>
        <v/>
      </c>
      <c r="C160" s="99" t="n"/>
      <c r="D160" s="100" t="n"/>
      <c r="E160" s="179">
        <f>'Waterfall Simulering'!E22</f>
        <v/>
      </c>
      <c r="F160" s="99" t="n"/>
      <c r="G160" s="100" t="n"/>
      <c r="H160" s="179">
        <f>'Waterfall Simulering'!F22</f>
        <v/>
      </c>
      <c r="I160" s="99" t="n"/>
      <c r="J160" s="100" t="n"/>
    </row>
    <row r="161" ht="12" customHeight="1" s="87">
      <c r="B161" s="180">
        <f>'Equity Dashboard'!F11*'Waterfall Simulering'!D22</f>
        <v/>
      </c>
      <c r="E161" s="180">
        <f>'Equity Dashboard'!F11*'Waterfall Simulering'!E22</f>
        <v/>
      </c>
      <c r="H161" s="180">
        <f>'Equity Dashboard'!F11*'Waterfall Simulering'!F22</f>
        <v/>
      </c>
    </row>
    <row r="162" ht="15.75" customHeight="1" s="87">
      <c r="B162" s="181" t="inlineStr">
        <is>
          <t>Detta utdrag är konfidentiellt och avsett enbart för mottagaren. Utfärdat av producenten.</t>
        </is>
      </c>
    </row>
    <row r="165" ht="4.5" customHeight="1" s="87"/>
    <row r="166" ht="7.5" customHeight="1" s="87"/>
    <row r="167" ht="24" customHeight="1" s="87">
      <c r="B167" s="156">
        <f>Projektinställningar!C5</f>
        <v/>
      </c>
    </row>
    <row r="168" ht="18" customHeight="1" s="87">
      <c r="B168" s="157" t="inlineStr">
        <is>
          <t>Ägarandelsutdrag — Samägande filmproduktion</t>
        </is>
      </c>
    </row>
    <row r="169" ht="6" customHeight="1" s="87">
      <c r="B169" s="90" t="n"/>
      <c r="C169" s="90" t="n"/>
      <c r="D169" s="90" t="n"/>
      <c r="E169" s="90" t="n"/>
      <c r="F169" s="90" t="n"/>
      <c r="G169" s="90" t="n"/>
      <c r="H169" s="90" t="n"/>
      <c r="I169" s="90" t="n"/>
      <c r="J169" s="90" t="n"/>
      <c r="K169" s="90" t="n"/>
    </row>
    <row r="170" ht="9.75" customHeight="1" s="87"/>
    <row r="171" ht="27.75" customHeight="1" s="87">
      <c r="B171" s="88" t="inlineStr">
        <is>
          <t>Johan Ek</t>
        </is>
      </c>
    </row>
    <row r="172" ht="18" customHeight="1" s="87">
      <c r="B172" s="158" t="inlineStr">
        <is>
          <t>Klippare</t>
        </is>
      </c>
    </row>
    <row r="173" ht="7.5" customHeight="1" s="87"/>
    <row r="174" ht="18" customHeight="1" s="87">
      <c r="B174" s="159" t="inlineStr">
        <is>
          <t>TOTALT DEFERRED (SEK)</t>
        </is>
      </c>
      <c r="C174" s="99" t="n"/>
      <c r="D174" s="100" t="n"/>
      <c r="E174" s="159" t="inlineStr">
        <is>
          <t>TOTALA POÄNG</t>
        </is>
      </c>
      <c r="F174" s="99" t="n"/>
      <c r="G174" s="100" t="n"/>
      <c r="H174" s="159" t="inlineStr">
        <is>
          <t>ÄGARANDEL</t>
        </is>
      </c>
      <c r="I174" s="99" t="n"/>
      <c r="J174" s="100" t="n"/>
    </row>
    <row r="175" ht="31.5" customHeight="1" s="87">
      <c r="B175" s="160">
        <f>'Equity Dashboard'!D12</f>
        <v/>
      </c>
      <c r="C175" s="99" t="n"/>
      <c r="D175" s="100" t="n"/>
      <c r="E175" s="161">
        <f>'Equity Dashboard'!E12</f>
        <v/>
      </c>
      <c r="F175" s="99" t="n"/>
      <c r="G175" s="100" t="n"/>
      <c r="H175" s="162">
        <f>'Equity Dashboard'!F12</f>
        <v/>
      </c>
      <c r="I175" s="99" t="n"/>
      <c r="J175" s="100" t="n"/>
    </row>
    <row r="176" ht="12" customHeight="1" s="87"/>
    <row r="177" ht="19.5" customHeight="1" s="87">
      <c r="B177" s="159" t="inlineStr">
        <is>
          <t>POÄNGHISTORIK PER FAS</t>
        </is>
      </c>
      <c r="C177" s="99" t="n"/>
      <c r="D177" s="99" t="n"/>
      <c r="E177" s="99" t="n"/>
      <c r="F177" s="99" t="n"/>
      <c r="G177" s="99" t="n"/>
      <c r="H177" s="99" t="n"/>
      <c r="I177" s="99" t="n"/>
      <c r="J177" s="99" t="n"/>
      <c r="K177" s="100" t="n"/>
    </row>
    <row r="178" ht="30" customHeight="1" s="87">
      <c r="B178" s="145" t="inlineStr">
        <is>
          <t>Fas</t>
        </is>
      </c>
      <c r="C178" s="145" t="inlineStr">
        <is>
          <t>Benämning</t>
        </is>
      </c>
      <c r="D178" s="145" t="inlineStr">
        <is>
          <t>Dagar</t>
        </is>
      </c>
      <c r="E178" s="145" t="inlineStr">
        <is>
          <t>Cash Fee/dag</t>
        </is>
      </c>
      <c r="F178" s="145" t="inlineStr">
        <is>
          <t>Markn.pris/dag</t>
        </is>
      </c>
      <c r="G178" s="145" t="inlineStr">
        <is>
          <t>Deferred (SEK)</t>
        </is>
      </c>
      <c r="H178" s="145" t="inlineStr">
        <is>
          <t>Grundp./dag</t>
        </is>
      </c>
      <c r="I178" s="145" t="inlineStr">
        <is>
          <t>Klassmult.</t>
        </is>
      </c>
      <c r="J178" s="145" t="inlineStr">
        <is>
          <t>Poäng</t>
        </is>
      </c>
      <c r="K178" s="145" t="inlineStr">
        <is>
          <t>Andel av egna</t>
        </is>
      </c>
    </row>
    <row r="179" ht="19.5" customHeight="1" s="87">
      <c r="B179" s="106" t="inlineStr">
        <is>
          <t>F1</t>
        </is>
      </c>
      <c r="C179" s="163">
        <f>Projektinställningar!C24</f>
        <v/>
      </c>
      <c r="D179" s="164">
        <f>SUMIFS('Egeninsats &amp; Poäng'!G:G,'Egeninsats &amp; Poäng'!C:C,"Johan Ek",'Egeninsats &amp; Poäng'!F:F,"F1")</f>
        <v/>
      </c>
      <c r="E179" s="164">
        <f>IFERROR(SUMIFS('Egeninsats &amp; Poäng'!H:H,'Egeninsats &amp; Poäng'!C:C,"Johan Ek",'Egeninsats &amp; Poäng'!F:F,"F1")/SUMIFS('Egeninsats &amp; Poäng'!G:G,'Egeninsats &amp; Poäng'!C:C,"Johan Ek",'Egeninsats &amp; Poäng'!F:F,"F1"),"")</f>
        <v/>
      </c>
      <c r="F179" s="164">
        <f>IFERROR(SUMIFS('Egeninsats &amp; Poäng'!I:I,'Egeninsats &amp; Poäng'!C:C,"Johan Ek",'Egeninsats &amp; Poäng'!F:F,"F1")/SUMIFS('Egeninsats &amp; Poäng'!G:G,'Egeninsats &amp; Poäng'!C:C,"Johan Ek",'Egeninsats &amp; Poäng'!F:F,"F1"),"")</f>
        <v/>
      </c>
      <c r="G179" s="164">
        <f>SUMIFS('Egeninsats &amp; Poäng'!J:J,'Egeninsats &amp; Poäng'!C:C,"Johan Ek",'Egeninsats &amp; Poäng'!F:F,"F1")</f>
        <v/>
      </c>
      <c r="H179" s="165">
        <f>IFERROR(SUMIFS('Egeninsats &amp; Poäng'!K:K,'Egeninsats &amp; Poäng'!C:C,"Johan Ek",'Egeninsats &amp; Poäng'!F:F,"F1")/SUMIFS('Egeninsats &amp; Poäng'!G:G,'Egeninsats &amp; Poäng'!C:C,"Johan Ek",'Egeninsats &amp; Poäng'!F:F,"F1"),"")</f>
        <v/>
      </c>
      <c r="I179" s="166">
        <f>IFERROR(SUMIFS('Egeninsats &amp; Poäng'!L:L,'Egeninsats &amp; Poäng'!C:C,"Johan Ek",'Egeninsats &amp; Poäng'!F:F,"F1")/SUMIFS('Egeninsats &amp; Poäng'!G:G,'Egeninsats &amp; Poäng'!C:C,"Johan Ek",'Egeninsats &amp; Poäng'!F:F,"F1"),"")</f>
        <v/>
      </c>
      <c r="J179" s="131">
        <f>SUMIFS('Egeninsats &amp; Poäng'!M:M,'Egeninsats &amp; Poäng'!C:C,"Johan Ek",'Egeninsats &amp; Poäng'!F:F,"F1")</f>
        <v/>
      </c>
      <c r="K179" s="167">
        <f>IFERROR(J179/'Equity Dashboard'!E12,"")</f>
        <v/>
      </c>
    </row>
    <row r="180" ht="19.5" customHeight="1" s="87">
      <c r="B180" s="111" t="inlineStr">
        <is>
          <t>F2</t>
        </is>
      </c>
      <c r="C180" s="168">
        <f>Projektinställningar!C25</f>
        <v/>
      </c>
      <c r="D180" s="169">
        <f>SUMIFS('Egeninsats &amp; Poäng'!G:G,'Egeninsats &amp; Poäng'!C:C,"Johan Ek",'Egeninsats &amp; Poäng'!F:F,"F2")</f>
        <v/>
      </c>
      <c r="E180" s="169">
        <f>IFERROR(SUMIFS('Egeninsats &amp; Poäng'!H:H,'Egeninsats &amp; Poäng'!C:C,"Johan Ek",'Egeninsats &amp; Poäng'!F:F,"F2")/SUMIFS('Egeninsats &amp; Poäng'!G:G,'Egeninsats &amp; Poäng'!C:C,"Johan Ek",'Egeninsats &amp; Poäng'!F:F,"F2"),"")</f>
        <v/>
      </c>
      <c r="F180" s="169">
        <f>IFERROR(SUMIFS('Egeninsats &amp; Poäng'!I:I,'Egeninsats &amp; Poäng'!C:C,"Johan Ek",'Egeninsats &amp; Poäng'!F:F,"F2")/SUMIFS('Egeninsats &amp; Poäng'!G:G,'Egeninsats &amp; Poäng'!C:C,"Johan Ek",'Egeninsats &amp; Poäng'!F:F,"F2"),"")</f>
        <v/>
      </c>
      <c r="G180" s="169">
        <f>SUMIFS('Egeninsats &amp; Poäng'!J:J,'Egeninsats &amp; Poäng'!C:C,"Johan Ek",'Egeninsats &amp; Poäng'!F:F,"F2")</f>
        <v/>
      </c>
      <c r="H180" s="170">
        <f>IFERROR(SUMIFS('Egeninsats &amp; Poäng'!K:K,'Egeninsats &amp; Poäng'!C:C,"Johan Ek",'Egeninsats &amp; Poäng'!F:F,"F2")/SUMIFS('Egeninsats &amp; Poäng'!G:G,'Egeninsats &amp; Poäng'!C:C,"Johan Ek",'Egeninsats &amp; Poäng'!F:F,"F2"),"")</f>
        <v/>
      </c>
      <c r="I180" s="171">
        <f>IFERROR(SUMIFS('Egeninsats &amp; Poäng'!L:L,'Egeninsats &amp; Poäng'!C:C,"Johan Ek",'Egeninsats &amp; Poäng'!F:F,"F2")/SUMIFS('Egeninsats &amp; Poäng'!G:G,'Egeninsats &amp; Poäng'!C:C,"Johan Ek",'Egeninsats &amp; Poäng'!F:F,"F2"),"")</f>
        <v/>
      </c>
      <c r="J180" s="172">
        <f>SUMIFS('Egeninsats &amp; Poäng'!M:M,'Egeninsats &amp; Poäng'!C:C,"Johan Ek",'Egeninsats &amp; Poäng'!F:F,"F2")</f>
        <v/>
      </c>
      <c r="K180" s="173">
        <f>IFERROR(J180/'Equity Dashboard'!E12,"")</f>
        <v/>
      </c>
    </row>
    <row r="181" ht="19.5" customHeight="1" s="87">
      <c r="B181" s="106" t="inlineStr">
        <is>
          <t>F3</t>
        </is>
      </c>
      <c r="C181" s="163">
        <f>Projektinställningar!C26</f>
        <v/>
      </c>
      <c r="D181" s="164">
        <f>SUMIFS('Egeninsats &amp; Poäng'!G:G,'Egeninsats &amp; Poäng'!C:C,"Johan Ek",'Egeninsats &amp; Poäng'!F:F,"F3")</f>
        <v/>
      </c>
      <c r="E181" s="164">
        <f>IFERROR(SUMIFS('Egeninsats &amp; Poäng'!H:H,'Egeninsats &amp; Poäng'!C:C,"Johan Ek",'Egeninsats &amp; Poäng'!F:F,"F3")/SUMIFS('Egeninsats &amp; Poäng'!G:G,'Egeninsats &amp; Poäng'!C:C,"Johan Ek",'Egeninsats &amp; Poäng'!F:F,"F3"),"")</f>
        <v/>
      </c>
      <c r="F181" s="164">
        <f>IFERROR(SUMIFS('Egeninsats &amp; Poäng'!I:I,'Egeninsats &amp; Poäng'!C:C,"Johan Ek",'Egeninsats &amp; Poäng'!F:F,"F3")/SUMIFS('Egeninsats &amp; Poäng'!G:G,'Egeninsats &amp; Poäng'!C:C,"Johan Ek",'Egeninsats &amp; Poäng'!F:F,"F3"),"")</f>
        <v/>
      </c>
      <c r="G181" s="164">
        <f>SUMIFS('Egeninsats &amp; Poäng'!J:J,'Egeninsats &amp; Poäng'!C:C,"Johan Ek",'Egeninsats &amp; Poäng'!F:F,"F3")</f>
        <v/>
      </c>
      <c r="H181" s="165">
        <f>IFERROR(SUMIFS('Egeninsats &amp; Poäng'!K:K,'Egeninsats &amp; Poäng'!C:C,"Johan Ek",'Egeninsats &amp; Poäng'!F:F,"F3")/SUMIFS('Egeninsats &amp; Poäng'!G:G,'Egeninsats &amp; Poäng'!C:C,"Johan Ek",'Egeninsats &amp; Poäng'!F:F,"F3"),"")</f>
        <v/>
      </c>
      <c r="I181" s="166">
        <f>IFERROR(SUMIFS('Egeninsats &amp; Poäng'!L:L,'Egeninsats &amp; Poäng'!C:C,"Johan Ek",'Egeninsats &amp; Poäng'!F:F,"F3")/SUMIFS('Egeninsats &amp; Poäng'!G:G,'Egeninsats &amp; Poäng'!C:C,"Johan Ek",'Egeninsats &amp; Poäng'!F:F,"F3"),"")</f>
        <v/>
      </c>
      <c r="J181" s="131">
        <f>SUMIFS('Egeninsats &amp; Poäng'!M:M,'Egeninsats &amp; Poäng'!C:C,"Johan Ek",'Egeninsats &amp; Poäng'!F:F,"F3")</f>
        <v/>
      </c>
      <c r="K181" s="167">
        <f>IFERROR(J181/'Equity Dashboard'!E12,"")</f>
        <v/>
      </c>
    </row>
    <row r="182" ht="19.5" customHeight="1" s="87">
      <c r="B182" s="111" t="inlineStr">
        <is>
          <t>F4</t>
        </is>
      </c>
      <c r="C182" s="168">
        <f>Projektinställningar!C27</f>
        <v/>
      </c>
      <c r="D182" s="169">
        <f>SUMIFS('Egeninsats &amp; Poäng'!G:G,'Egeninsats &amp; Poäng'!C:C,"Johan Ek",'Egeninsats &amp; Poäng'!F:F,"F4")</f>
        <v/>
      </c>
      <c r="E182" s="169">
        <f>IFERROR(SUMIFS('Egeninsats &amp; Poäng'!H:H,'Egeninsats &amp; Poäng'!C:C,"Johan Ek",'Egeninsats &amp; Poäng'!F:F,"F4")/SUMIFS('Egeninsats &amp; Poäng'!G:G,'Egeninsats &amp; Poäng'!C:C,"Johan Ek",'Egeninsats &amp; Poäng'!F:F,"F4"),"")</f>
        <v/>
      </c>
      <c r="F182" s="169">
        <f>IFERROR(SUMIFS('Egeninsats &amp; Poäng'!I:I,'Egeninsats &amp; Poäng'!C:C,"Johan Ek",'Egeninsats &amp; Poäng'!F:F,"F4")/SUMIFS('Egeninsats &amp; Poäng'!G:G,'Egeninsats &amp; Poäng'!C:C,"Johan Ek",'Egeninsats &amp; Poäng'!F:F,"F4"),"")</f>
        <v/>
      </c>
      <c r="G182" s="169">
        <f>SUMIFS('Egeninsats &amp; Poäng'!J:J,'Egeninsats &amp; Poäng'!C:C,"Johan Ek",'Egeninsats &amp; Poäng'!F:F,"F4")</f>
        <v/>
      </c>
      <c r="H182" s="170">
        <f>IFERROR(SUMIFS('Egeninsats &amp; Poäng'!K:K,'Egeninsats &amp; Poäng'!C:C,"Johan Ek",'Egeninsats &amp; Poäng'!F:F,"F4")/SUMIFS('Egeninsats &amp; Poäng'!G:G,'Egeninsats &amp; Poäng'!C:C,"Johan Ek",'Egeninsats &amp; Poäng'!F:F,"F4"),"")</f>
        <v/>
      </c>
      <c r="I182" s="171">
        <f>IFERROR(SUMIFS('Egeninsats &amp; Poäng'!L:L,'Egeninsats &amp; Poäng'!C:C,"Johan Ek",'Egeninsats &amp; Poäng'!F:F,"F4")/SUMIFS('Egeninsats &amp; Poäng'!G:G,'Egeninsats &amp; Poäng'!C:C,"Johan Ek",'Egeninsats &amp; Poäng'!F:F,"F4"),"")</f>
        <v/>
      </c>
      <c r="J182" s="172">
        <f>SUMIFS('Egeninsats &amp; Poäng'!M:M,'Egeninsats &amp; Poäng'!C:C,"Johan Ek",'Egeninsats &amp; Poäng'!F:F,"F4")</f>
        <v/>
      </c>
      <c r="K182" s="173">
        <f>IFERROR(J182/'Equity Dashboard'!E12,"")</f>
        <v/>
      </c>
    </row>
    <row r="183" ht="19.5" customHeight="1" s="87">
      <c r="B183" s="106" t="inlineStr">
        <is>
          <t>F5</t>
        </is>
      </c>
      <c r="C183" s="163">
        <f>Projektinställningar!C28</f>
        <v/>
      </c>
      <c r="D183" s="164">
        <f>SUMIFS('Egeninsats &amp; Poäng'!G:G,'Egeninsats &amp; Poäng'!C:C,"Johan Ek",'Egeninsats &amp; Poäng'!F:F,"F5")</f>
        <v/>
      </c>
      <c r="E183" s="164">
        <f>IFERROR(SUMIFS('Egeninsats &amp; Poäng'!H:H,'Egeninsats &amp; Poäng'!C:C,"Johan Ek",'Egeninsats &amp; Poäng'!F:F,"F5")/SUMIFS('Egeninsats &amp; Poäng'!G:G,'Egeninsats &amp; Poäng'!C:C,"Johan Ek",'Egeninsats &amp; Poäng'!F:F,"F5"),"")</f>
        <v/>
      </c>
      <c r="F183" s="164">
        <f>IFERROR(SUMIFS('Egeninsats &amp; Poäng'!I:I,'Egeninsats &amp; Poäng'!C:C,"Johan Ek",'Egeninsats &amp; Poäng'!F:F,"F5")/SUMIFS('Egeninsats &amp; Poäng'!G:G,'Egeninsats &amp; Poäng'!C:C,"Johan Ek",'Egeninsats &amp; Poäng'!F:F,"F5"),"")</f>
        <v/>
      </c>
      <c r="G183" s="164">
        <f>SUMIFS('Egeninsats &amp; Poäng'!J:J,'Egeninsats &amp; Poäng'!C:C,"Johan Ek",'Egeninsats &amp; Poäng'!F:F,"F5")</f>
        <v/>
      </c>
      <c r="H183" s="165">
        <f>IFERROR(SUMIFS('Egeninsats &amp; Poäng'!K:K,'Egeninsats &amp; Poäng'!C:C,"Johan Ek",'Egeninsats &amp; Poäng'!F:F,"F5")/SUMIFS('Egeninsats &amp; Poäng'!G:G,'Egeninsats &amp; Poäng'!C:C,"Johan Ek",'Egeninsats &amp; Poäng'!F:F,"F5"),"")</f>
        <v/>
      </c>
      <c r="I183" s="166">
        <f>IFERROR(SUMIFS('Egeninsats &amp; Poäng'!L:L,'Egeninsats &amp; Poäng'!C:C,"Johan Ek",'Egeninsats &amp; Poäng'!F:F,"F5")/SUMIFS('Egeninsats &amp; Poäng'!G:G,'Egeninsats &amp; Poäng'!C:C,"Johan Ek",'Egeninsats &amp; Poäng'!F:F,"F5"),"")</f>
        <v/>
      </c>
      <c r="J183" s="131">
        <f>SUMIFS('Egeninsats &amp; Poäng'!M:M,'Egeninsats &amp; Poäng'!C:C,"Johan Ek",'Egeninsats &amp; Poäng'!F:F,"F5")</f>
        <v/>
      </c>
      <c r="K183" s="167">
        <f>IFERROR(J183/'Equity Dashboard'!E12,"")</f>
        <v/>
      </c>
    </row>
    <row r="184" ht="19.5" customHeight="1" s="87">
      <c r="B184" s="111" t="inlineStr">
        <is>
          <t>F6</t>
        </is>
      </c>
      <c r="C184" s="168">
        <f>Projektinställningar!C29</f>
        <v/>
      </c>
      <c r="D184" s="169">
        <f>SUMIFS('Egeninsats &amp; Poäng'!G:G,'Egeninsats &amp; Poäng'!C:C,"Johan Ek",'Egeninsats &amp; Poäng'!F:F,"F6")</f>
        <v/>
      </c>
      <c r="E184" s="169">
        <f>IFERROR(SUMIFS('Egeninsats &amp; Poäng'!H:H,'Egeninsats &amp; Poäng'!C:C,"Johan Ek",'Egeninsats &amp; Poäng'!F:F,"F6")/SUMIFS('Egeninsats &amp; Poäng'!G:G,'Egeninsats &amp; Poäng'!C:C,"Johan Ek",'Egeninsats &amp; Poäng'!F:F,"F6"),"")</f>
        <v/>
      </c>
      <c r="F184" s="169">
        <f>IFERROR(SUMIFS('Egeninsats &amp; Poäng'!I:I,'Egeninsats &amp; Poäng'!C:C,"Johan Ek",'Egeninsats &amp; Poäng'!F:F,"F6")/SUMIFS('Egeninsats &amp; Poäng'!G:G,'Egeninsats &amp; Poäng'!C:C,"Johan Ek",'Egeninsats &amp; Poäng'!F:F,"F6"),"")</f>
        <v/>
      </c>
      <c r="G184" s="169">
        <f>SUMIFS('Egeninsats &amp; Poäng'!J:J,'Egeninsats &amp; Poäng'!C:C,"Johan Ek",'Egeninsats &amp; Poäng'!F:F,"F6")</f>
        <v/>
      </c>
      <c r="H184" s="170">
        <f>IFERROR(SUMIFS('Egeninsats &amp; Poäng'!K:K,'Egeninsats &amp; Poäng'!C:C,"Johan Ek",'Egeninsats &amp; Poäng'!F:F,"F6")/SUMIFS('Egeninsats &amp; Poäng'!G:G,'Egeninsats &amp; Poäng'!C:C,"Johan Ek",'Egeninsats &amp; Poäng'!F:F,"F6"),"")</f>
        <v/>
      </c>
      <c r="I184" s="171">
        <f>IFERROR(SUMIFS('Egeninsats &amp; Poäng'!L:L,'Egeninsats &amp; Poäng'!C:C,"Johan Ek",'Egeninsats &amp; Poäng'!F:F,"F6")/SUMIFS('Egeninsats &amp; Poäng'!G:G,'Egeninsats &amp; Poäng'!C:C,"Johan Ek",'Egeninsats &amp; Poäng'!F:F,"F6"),"")</f>
        <v/>
      </c>
      <c r="J184" s="172">
        <f>SUMIFS('Egeninsats &amp; Poäng'!M:M,'Egeninsats &amp; Poäng'!C:C,"Johan Ek",'Egeninsats &amp; Poäng'!F:F,"F6")</f>
        <v/>
      </c>
      <c r="K184" s="173">
        <f>IFERROR(J184/'Equity Dashboard'!E12,"")</f>
        <v/>
      </c>
    </row>
    <row r="185" ht="19.5" customHeight="1" s="87">
      <c r="B185" s="106" t="inlineStr">
        <is>
          <t>F7</t>
        </is>
      </c>
      <c r="C185" s="163">
        <f>Projektinställningar!C30</f>
        <v/>
      </c>
      <c r="D185" s="164">
        <f>SUMIFS('Egeninsats &amp; Poäng'!G:G,'Egeninsats &amp; Poäng'!C:C,"Johan Ek",'Egeninsats &amp; Poäng'!F:F,"F7")</f>
        <v/>
      </c>
      <c r="E185" s="164">
        <f>IFERROR(SUMIFS('Egeninsats &amp; Poäng'!H:H,'Egeninsats &amp; Poäng'!C:C,"Johan Ek",'Egeninsats &amp; Poäng'!F:F,"F7")/SUMIFS('Egeninsats &amp; Poäng'!G:G,'Egeninsats &amp; Poäng'!C:C,"Johan Ek",'Egeninsats &amp; Poäng'!F:F,"F7"),"")</f>
        <v/>
      </c>
      <c r="F185" s="164">
        <f>IFERROR(SUMIFS('Egeninsats &amp; Poäng'!I:I,'Egeninsats &amp; Poäng'!C:C,"Johan Ek",'Egeninsats &amp; Poäng'!F:F,"F7")/SUMIFS('Egeninsats &amp; Poäng'!G:G,'Egeninsats &amp; Poäng'!C:C,"Johan Ek",'Egeninsats &amp; Poäng'!F:F,"F7"),"")</f>
        <v/>
      </c>
      <c r="G185" s="164">
        <f>SUMIFS('Egeninsats &amp; Poäng'!J:J,'Egeninsats &amp; Poäng'!C:C,"Johan Ek",'Egeninsats &amp; Poäng'!F:F,"F7")</f>
        <v/>
      </c>
      <c r="H185" s="165">
        <f>IFERROR(SUMIFS('Egeninsats &amp; Poäng'!K:K,'Egeninsats &amp; Poäng'!C:C,"Johan Ek",'Egeninsats &amp; Poäng'!F:F,"F7")/SUMIFS('Egeninsats &amp; Poäng'!G:G,'Egeninsats &amp; Poäng'!C:C,"Johan Ek",'Egeninsats &amp; Poäng'!F:F,"F7"),"")</f>
        <v/>
      </c>
      <c r="I185" s="166">
        <f>IFERROR(SUMIFS('Egeninsats &amp; Poäng'!L:L,'Egeninsats &amp; Poäng'!C:C,"Johan Ek",'Egeninsats &amp; Poäng'!F:F,"F7")/SUMIFS('Egeninsats &amp; Poäng'!G:G,'Egeninsats &amp; Poäng'!C:C,"Johan Ek",'Egeninsats &amp; Poäng'!F:F,"F7"),"")</f>
        <v/>
      </c>
      <c r="J185" s="131">
        <f>SUMIFS('Egeninsats &amp; Poäng'!M:M,'Egeninsats &amp; Poäng'!C:C,"Johan Ek",'Egeninsats &amp; Poäng'!F:F,"F7")</f>
        <v/>
      </c>
      <c r="K185" s="167">
        <f>IFERROR(J185/'Equity Dashboard'!E12,"")</f>
        <v/>
      </c>
    </row>
    <row r="186" ht="19.5" customHeight="1" s="87">
      <c r="B186" s="111" t="inlineStr">
        <is>
          <t>F8</t>
        </is>
      </c>
      <c r="C186" s="168">
        <f>Projektinställningar!C31</f>
        <v/>
      </c>
      <c r="D186" s="169">
        <f>SUMIFS('Egeninsats &amp; Poäng'!G:G,'Egeninsats &amp; Poäng'!C:C,"Johan Ek",'Egeninsats &amp; Poäng'!F:F,"F8")</f>
        <v/>
      </c>
      <c r="E186" s="169">
        <f>IFERROR(SUMIFS('Egeninsats &amp; Poäng'!H:H,'Egeninsats &amp; Poäng'!C:C,"Johan Ek",'Egeninsats &amp; Poäng'!F:F,"F8")/SUMIFS('Egeninsats &amp; Poäng'!G:G,'Egeninsats &amp; Poäng'!C:C,"Johan Ek",'Egeninsats &amp; Poäng'!F:F,"F8"),"")</f>
        <v/>
      </c>
      <c r="F186" s="169">
        <f>IFERROR(SUMIFS('Egeninsats &amp; Poäng'!I:I,'Egeninsats &amp; Poäng'!C:C,"Johan Ek",'Egeninsats &amp; Poäng'!F:F,"F8")/SUMIFS('Egeninsats &amp; Poäng'!G:G,'Egeninsats &amp; Poäng'!C:C,"Johan Ek",'Egeninsats &amp; Poäng'!F:F,"F8"),"")</f>
        <v/>
      </c>
      <c r="G186" s="169">
        <f>SUMIFS('Egeninsats &amp; Poäng'!J:J,'Egeninsats &amp; Poäng'!C:C,"Johan Ek",'Egeninsats &amp; Poäng'!F:F,"F8")</f>
        <v/>
      </c>
      <c r="H186" s="170">
        <f>IFERROR(SUMIFS('Egeninsats &amp; Poäng'!K:K,'Egeninsats &amp; Poäng'!C:C,"Johan Ek",'Egeninsats &amp; Poäng'!F:F,"F8")/SUMIFS('Egeninsats &amp; Poäng'!G:G,'Egeninsats &amp; Poäng'!C:C,"Johan Ek",'Egeninsats &amp; Poäng'!F:F,"F8"),"")</f>
        <v/>
      </c>
      <c r="I186" s="171">
        <f>IFERROR(SUMIFS('Egeninsats &amp; Poäng'!L:L,'Egeninsats &amp; Poäng'!C:C,"Johan Ek",'Egeninsats &amp; Poäng'!F:F,"F8")/SUMIFS('Egeninsats &amp; Poäng'!G:G,'Egeninsats &amp; Poäng'!C:C,"Johan Ek",'Egeninsats &amp; Poäng'!F:F,"F8"),"")</f>
        <v/>
      </c>
      <c r="J186" s="172">
        <f>SUMIFS('Egeninsats &amp; Poäng'!M:M,'Egeninsats &amp; Poäng'!C:C,"Johan Ek",'Egeninsats &amp; Poäng'!F:F,"F8")</f>
        <v/>
      </c>
      <c r="K186" s="173">
        <f>IFERROR(J186/'Equity Dashboard'!E12,"")</f>
        <v/>
      </c>
    </row>
    <row r="187" ht="21.75" customHeight="1" s="87">
      <c r="B187" s="174" t="inlineStr">
        <is>
          <t>TOTALT</t>
        </is>
      </c>
      <c r="C187" s="100" t="n"/>
      <c r="D187" s="175">
        <f>SUM(D179:D186)</f>
        <v/>
      </c>
      <c r="E187" s="176" t="n"/>
      <c r="F187" s="176" t="n"/>
      <c r="G187" s="175">
        <f>SUM(G179:G186)</f>
        <v/>
      </c>
      <c r="H187" s="176" t="n"/>
      <c r="I187" s="176" t="n"/>
      <c r="J187" s="177">
        <f>SUM(J179:J186)</f>
        <v/>
      </c>
      <c r="K187" s="176" t="n"/>
    </row>
    <row r="188" ht="12" customHeight="1" s="87"/>
    <row r="189" ht="19.5" customHeight="1" s="87">
      <c r="B189" s="159" t="inlineStr">
        <is>
          <t>DIN ANDEL I RECOUPMENT-VATTENFALLET</t>
        </is>
      </c>
      <c r="C189" s="99" t="n"/>
      <c r="D189" s="99" t="n"/>
      <c r="E189" s="99" t="n"/>
      <c r="F189" s="99" t="n"/>
      <c r="G189" s="99" t="n"/>
      <c r="H189" s="99" t="n"/>
      <c r="I189" s="99" t="n"/>
      <c r="J189" s="99" t="n"/>
      <c r="K189" s="100" t="n"/>
    </row>
    <row r="190" ht="27.75" customHeight="1" s="87">
      <c r="B190" s="178" t="inlineStr">
        <is>
          <t>Din ägarandel (%) multipliceras med Crew-poolen (50% av netto efter distribution, finansiär och deferred fees).</t>
        </is>
      </c>
    </row>
    <row r="191" ht="30" customHeight="1" s="87">
      <c r="B191" s="151" t="inlineStr">
        <is>
          <t>Scenario A
(Litet utfall)</t>
        </is>
      </c>
      <c r="C191" s="99" t="n"/>
      <c r="D191" s="100" t="n"/>
      <c r="E191" s="151" t="inlineStr">
        <is>
          <t>Scenario B
(Mellant)</t>
        </is>
      </c>
      <c r="F191" s="99" t="n"/>
      <c r="G191" s="100" t="n"/>
      <c r="H191" s="151" t="inlineStr">
        <is>
          <t>Scenario C
(Stort utfall)</t>
        </is>
      </c>
      <c r="I191" s="99" t="n"/>
      <c r="J191" s="100" t="n"/>
    </row>
    <row r="192" ht="19.5" customHeight="1" s="87">
      <c r="B192" s="179" t="inlineStr">
        <is>
          <t>Crew-pool:</t>
        </is>
      </c>
      <c r="C192" s="99" t="n"/>
      <c r="D192" s="100" t="n"/>
      <c r="E192" s="179" t="inlineStr">
        <is>
          <t>Crew-pool:</t>
        </is>
      </c>
      <c r="F192" s="99" t="n"/>
      <c r="G192" s="100" t="n"/>
      <c r="H192" s="179" t="inlineStr">
        <is>
          <t>Crew-pool:</t>
        </is>
      </c>
      <c r="I192" s="99" t="n"/>
      <c r="J192" s="100" t="n"/>
    </row>
    <row r="193" ht="36" customHeight="1" s="87">
      <c r="B193" s="179">
        <f>'Waterfall Simulering'!D22</f>
        <v/>
      </c>
      <c r="C193" s="99" t="n"/>
      <c r="D193" s="100" t="n"/>
      <c r="E193" s="179">
        <f>'Waterfall Simulering'!E22</f>
        <v/>
      </c>
      <c r="F193" s="99" t="n"/>
      <c r="G193" s="100" t="n"/>
      <c r="H193" s="179">
        <f>'Waterfall Simulering'!F22</f>
        <v/>
      </c>
      <c r="I193" s="99" t="n"/>
      <c r="J193" s="100" t="n"/>
    </row>
    <row r="194" ht="12" customHeight="1" s="87">
      <c r="B194" s="180">
        <f>'Equity Dashboard'!F12*'Waterfall Simulering'!D22</f>
        <v/>
      </c>
      <c r="E194" s="180">
        <f>'Equity Dashboard'!F12*'Waterfall Simulering'!E22</f>
        <v/>
      </c>
      <c r="H194" s="180">
        <f>'Equity Dashboard'!F12*'Waterfall Simulering'!F22</f>
        <v/>
      </c>
    </row>
    <row r="195" ht="15.75" customHeight="1" s="87">
      <c r="B195" s="181" t="inlineStr">
        <is>
          <t>Detta utdrag är konfidentiellt och avsett enbart för mottagaren. Utfärdat av producenten.</t>
        </is>
      </c>
    </row>
    <row r="198" ht="4.5" customHeight="1" s="87"/>
    <row r="199" ht="7.5" customHeight="1" s="87"/>
    <row r="200" ht="24" customHeight="1" s="87">
      <c r="B200" s="156">
        <f>Projektinställningar!C5</f>
        <v/>
      </c>
    </row>
    <row r="201" ht="18" customHeight="1" s="87">
      <c r="B201" s="157" t="inlineStr">
        <is>
          <t>Ägarandelsutdrag — Samägande filmproduktion</t>
        </is>
      </c>
    </row>
    <row r="202" ht="6" customHeight="1" s="87">
      <c r="B202" s="90" t="n"/>
      <c r="C202" s="90" t="n"/>
      <c r="D202" s="90" t="n"/>
      <c r="E202" s="90" t="n"/>
      <c r="F202" s="90" t="n"/>
      <c r="G202" s="90" t="n"/>
      <c r="H202" s="90" t="n"/>
      <c r="I202" s="90" t="n"/>
      <c r="J202" s="90" t="n"/>
      <c r="K202" s="90" t="n"/>
    </row>
    <row r="203" ht="9.75" customHeight="1" s="87"/>
    <row r="204" ht="27.75" customHeight="1" s="87">
      <c r="B204" s="88" t="inlineStr">
        <is>
          <t>Maria Svensson</t>
        </is>
      </c>
    </row>
    <row r="205" ht="18" customHeight="1" s="87">
      <c r="B205" s="158" t="inlineStr">
        <is>
          <t>Kostymör</t>
        </is>
      </c>
    </row>
    <row r="206" ht="7.5" customHeight="1" s="87"/>
    <row r="207" ht="18" customHeight="1" s="87">
      <c r="B207" s="159" t="inlineStr">
        <is>
          <t>TOTALT DEFERRED (SEK)</t>
        </is>
      </c>
      <c r="C207" s="99" t="n"/>
      <c r="D207" s="100" t="n"/>
      <c r="E207" s="159" t="inlineStr">
        <is>
          <t>TOTALA POÄNG</t>
        </is>
      </c>
      <c r="F207" s="99" t="n"/>
      <c r="G207" s="100" t="n"/>
      <c r="H207" s="159" t="inlineStr">
        <is>
          <t>ÄGARANDEL</t>
        </is>
      </c>
      <c r="I207" s="99" t="n"/>
      <c r="J207" s="100" t="n"/>
    </row>
    <row r="208" ht="31.5" customHeight="1" s="87">
      <c r="B208" s="160">
        <f>'Equity Dashboard'!D13</f>
        <v/>
      </c>
      <c r="C208" s="99" t="n"/>
      <c r="D208" s="100" t="n"/>
      <c r="E208" s="161">
        <f>'Equity Dashboard'!E13</f>
        <v/>
      </c>
      <c r="F208" s="99" t="n"/>
      <c r="G208" s="100" t="n"/>
      <c r="H208" s="162">
        <f>'Equity Dashboard'!F13</f>
        <v/>
      </c>
      <c r="I208" s="99" t="n"/>
      <c r="J208" s="100" t="n"/>
    </row>
    <row r="209" ht="12" customHeight="1" s="87"/>
    <row r="210" ht="19.5" customHeight="1" s="87">
      <c r="B210" s="159" t="inlineStr">
        <is>
          <t>POÄNGHISTORIK PER FAS</t>
        </is>
      </c>
      <c r="C210" s="99" t="n"/>
      <c r="D210" s="99" t="n"/>
      <c r="E210" s="99" t="n"/>
      <c r="F210" s="99" t="n"/>
      <c r="G210" s="99" t="n"/>
      <c r="H210" s="99" t="n"/>
      <c r="I210" s="99" t="n"/>
      <c r="J210" s="99" t="n"/>
      <c r="K210" s="100" t="n"/>
    </row>
    <row r="211" ht="30" customHeight="1" s="87">
      <c r="B211" s="145" t="inlineStr">
        <is>
          <t>Fas</t>
        </is>
      </c>
      <c r="C211" s="145" t="inlineStr">
        <is>
          <t>Benämning</t>
        </is>
      </c>
      <c r="D211" s="145" t="inlineStr">
        <is>
          <t>Dagar</t>
        </is>
      </c>
      <c r="E211" s="145" t="inlineStr">
        <is>
          <t>Cash Fee/dag</t>
        </is>
      </c>
      <c r="F211" s="145" t="inlineStr">
        <is>
          <t>Markn.pris/dag</t>
        </is>
      </c>
      <c r="G211" s="145" t="inlineStr">
        <is>
          <t>Deferred (SEK)</t>
        </is>
      </c>
      <c r="H211" s="145" t="inlineStr">
        <is>
          <t>Grundp./dag</t>
        </is>
      </c>
      <c r="I211" s="145" t="inlineStr">
        <is>
          <t>Klassmult.</t>
        </is>
      </c>
      <c r="J211" s="145" t="inlineStr">
        <is>
          <t>Poäng</t>
        </is>
      </c>
      <c r="K211" s="145" t="inlineStr">
        <is>
          <t>Andel av egna</t>
        </is>
      </c>
    </row>
    <row r="212" ht="19.5" customHeight="1" s="87">
      <c r="B212" s="106" t="inlineStr">
        <is>
          <t>F1</t>
        </is>
      </c>
      <c r="C212" s="163">
        <f>Projektinställningar!C24</f>
        <v/>
      </c>
      <c r="D212" s="164">
        <f>SUMIFS('Egeninsats &amp; Poäng'!G:G,'Egeninsats &amp; Poäng'!C:C,"Maria Svensson",'Egeninsats &amp; Poäng'!F:F,"F1")</f>
        <v/>
      </c>
      <c r="E212" s="164">
        <f>IFERROR(SUMIFS('Egeninsats &amp; Poäng'!H:H,'Egeninsats &amp; Poäng'!C:C,"Maria Svensson",'Egeninsats &amp; Poäng'!F:F,"F1")/SUMIFS('Egeninsats &amp; Poäng'!G:G,'Egeninsats &amp; Poäng'!C:C,"Maria Svensson",'Egeninsats &amp; Poäng'!F:F,"F1"),"")</f>
        <v/>
      </c>
      <c r="F212" s="164">
        <f>IFERROR(SUMIFS('Egeninsats &amp; Poäng'!I:I,'Egeninsats &amp; Poäng'!C:C,"Maria Svensson",'Egeninsats &amp; Poäng'!F:F,"F1")/SUMIFS('Egeninsats &amp; Poäng'!G:G,'Egeninsats &amp; Poäng'!C:C,"Maria Svensson",'Egeninsats &amp; Poäng'!F:F,"F1"),"")</f>
        <v/>
      </c>
      <c r="G212" s="164">
        <f>SUMIFS('Egeninsats &amp; Poäng'!J:J,'Egeninsats &amp; Poäng'!C:C,"Maria Svensson",'Egeninsats &amp; Poäng'!F:F,"F1")</f>
        <v/>
      </c>
      <c r="H212" s="165">
        <f>IFERROR(SUMIFS('Egeninsats &amp; Poäng'!K:K,'Egeninsats &amp; Poäng'!C:C,"Maria Svensson",'Egeninsats &amp; Poäng'!F:F,"F1")/SUMIFS('Egeninsats &amp; Poäng'!G:G,'Egeninsats &amp; Poäng'!C:C,"Maria Svensson",'Egeninsats &amp; Poäng'!F:F,"F1"),"")</f>
        <v/>
      </c>
      <c r="I212" s="166">
        <f>IFERROR(SUMIFS('Egeninsats &amp; Poäng'!L:L,'Egeninsats &amp; Poäng'!C:C,"Maria Svensson",'Egeninsats &amp; Poäng'!F:F,"F1")/SUMIFS('Egeninsats &amp; Poäng'!G:G,'Egeninsats &amp; Poäng'!C:C,"Maria Svensson",'Egeninsats &amp; Poäng'!F:F,"F1"),"")</f>
        <v/>
      </c>
      <c r="J212" s="131">
        <f>SUMIFS('Egeninsats &amp; Poäng'!M:M,'Egeninsats &amp; Poäng'!C:C,"Maria Svensson",'Egeninsats &amp; Poäng'!F:F,"F1")</f>
        <v/>
      </c>
      <c r="K212" s="167">
        <f>IFERROR(J212/'Equity Dashboard'!E13,"")</f>
        <v/>
      </c>
    </row>
    <row r="213" ht="19.5" customHeight="1" s="87">
      <c r="B213" s="111" t="inlineStr">
        <is>
          <t>F2</t>
        </is>
      </c>
      <c r="C213" s="168">
        <f>Projektinställningar!C25</f>
        <v/>
      </c>
      <c r="D213" s="169">
        <f>SUMIFS('Egeninsats &amp; Poäng'!G:G,'Egeninsats &amp; Poäng'!C:C,"Maria Svensson",'Egeninsats &amp; Poäng'!F:F,"F2")</f>
        <v/>
      </c>
      <c r="E213" s="169">
        <f>IFERROR(SUMIFS('Egeninsats &amp; Poäng'!H:H,'Egeninsats &amp; Poäng'!C:C,"Maria Svensson",'Egeninsats &amp; Poäng'!F:F,"F2")/SUMIFS('Egeninsats &amp; Poäng'!G:G,'Egeninsats &amp; Poäng'!C:C,"Maria Svensson",'Egeninsats &amp; Poäng'!F:F,"F2"),"")</f>
        <v/>
      </c>
      <c r="F213" s="169">
        <f>IFERROR(SUMIFS('Egeninsats &amp; Poäng'!I:I,'Egeninsats &amp; Poäng'!C:C,"Maria Svensson",'Egeninsats &amp; Poäng'!F:F,"F2")/SUMIFS('Egeninsats &amp; Poäng'!G:G,'Egeninsats &amp; Poäng'!C:C,"Maria Svensson",'Egeninsats &amp; Poäng'!F:F,"F2"),"")</f>
        <v/>
      </c>
      <c r="G213" s="169">
        <f>SUMIFS('Egeninsats &amp; Poäng'!J:J,'Egeninsats &amp; Poäng'!C:C,"Maria Svensson",'Egeninsats &amp; Poäng'!F:F,"F2")</f>
        <v/>
      </c>
      <c r="H213" s="170">
        <f>IFERROR(SUMIFS('Egeninsats &amp; Poäng'!K:K,'Egeninsats &amp; Poäng'!C:C,"Maria Svensson",'Egeninsats &amp; Poäng'!F:F,"F2")/SUMIFS('Egeninsats &amp; Poäng'!G:G,'Egeninsats &amp; Poäng'!C:C,"Maria Svensson",'Egeninsats &amp; Poäng'!F:F,"F2"),"")</f>
        <v/>
      </c>
      <c r="I213" s="171">
        <f>IFERROR(SUMIFS('Egeninsats &amp; Poäng'!L:L,'Egeninsats &amp; Poäng'!C:C,"Maria Svensson",'Egeninsats &amp; Poäng'!F:F,"F2")/SUMIFS('Egeninsats &amp; Poäng'!G:G,'Egeninsats &amp; Poäng'!C:C,"Maria Svensson",'Egeninsats &amp; Poäng'!F:F,"F2"),"")</f>
        <v/>
      </c>
      <c r="J213" s="172">
        <f>SUMIFS('Egeninsats &amp; Poäng'!M:M,'Egeninsats &amp; Poäng'!C:C,"Maria Svensson",'Egeninsats &amp; Poäng'!F:F,"F2")</f>
        <v/>
      </c>
      <c r="K213" s="173">
        <f>IFERROR(J213/'Equity Dashboard'!E13,"")</f>
        <v/>
      </c>
    </row>
    <row r="214" ht="19.5" customHeight="1" s="87">
      <c r="B214" s="106" t="inlineStr">
        <is>
          <t>F3</t>
        </is>
      </c>
      <c r="C214" s="163">
        <f>Projektinställningar!C26</f>
        <v/>
      </c>
      <c r="D214" s="164">
        <f>SUMIFS('Egeninsats &amp; Poäng'!G:G,'Egeninsats &amp; Poäng'!C:C,"Maria Svensson",'Egeninsats &amp; Poäng'!F:F,"F3")</f>
        <v/>
      </c>
      <c r="E214" s="164">
        <f>IFERROR(SUMIFS('Egeninsats &amp; Poäng'!H:H,'Egeninsats &amp; Poäng'!C:C,"Maria Svensson",'Egeninsats &amp; Poäng'!F:F,"F3")/SUMIFS('Egeninsats &amp; Poäng'!G:G,'Egeninsats &amp; Poäng'!C:C,"Maria Svensson",'Egeninsats &amp; Poäng'!F:F,"F3"),"")</f>
        <v/>
      </c>
      <c r="F214" s="164">
        <f>IFERROR(SUMIFS('Egeninsats &amp; Poäng'!I:I,'Egeninsats &amp; Poäng'!C:C,"Maria Svensson",'Egeninsats &amp; Poäng'!F:F,"F3")/SUMIFS('Egeninsats &amp; Poäng'!G:G,'Egeninsats &amp; Poäng'!C:C,"Maria Svensson",'Egeninsats &amp; Poäng'!F:F,"F3"),"")</f>
        <v/>
      </c>
      <c r="G214" s="164">
        <f>SUMIFS('Egeninsats &amp; Poäng'!J:J,'Egeninsats &amp; Poäng'!C:C,"Maria Svensson",'Egeninsats &amp; Poäng'!F:F,"F3")</f>
        <v/>
      </c>
      <c r="H214" s="165">
        <f>IFERROR(SUMIFS('Egeninsats &amp; Poäng'!K:K,'Egeninsats &amp; Poäng'!C:C,"Maria Svensson",'Egeninsats &amp; Poäng'!F:F,"F3")/SUMIFS('Egeninsats &amp; Poäng'!G:G,'Egeninsats &amp; Poäng'!C:C,"Maria Svensson",'Egeninsats &amp; Poäng'!F:F,"F3"),"")</f>
        <v/>
      </c>
      <c r="I214" s="166">
        <f>IFERROR(SUMIFS('Egeninsats &amp; Poäng'!L:L,'Egeninsats &amp; Poäng'!C:C,"Maria Svensson",'Egeninsats &amp; Poäng'!F:F,"F3")/SUMIFS('Egeninsats &amp; Poäng'!G:G,'Egeninsats &amp; Poäng'!C:C,"Maria Svensson",'Egeninsats &amp; Poäng'!F:F,"F3"),"")</f>
        <v/>
      </c>
      <c r="J214" s="131">
        <f>SUMIFS('Egeninsats &amp; Poäng'!M:M,'Egeninsats &amp; Poäng'!C:C,"Maria Svensson",'Egeninsats &amp; Poäng'!F:F,"F3")</f>
        <v/>
      </c>
      <c r="K214" s="167">
        <f>IFERROR(J214/'Equity Dashboard'!E13,"")</f>
        <v/>
      </c>
    </row>
    <row r="215" ht="19.5" customHeight="1" s="87">
      <c r="B215" s="111" t="inlineStr">
        <is>
          <t>F4</t>
        </is>
      </c>
      <c r="C215" s="168">
        <f>Projektinställningar!C27</f>
        <v/>
      </c>
      <c r="D215" s="169">
        <f>SUMIFS('Egeninsats &amp; Poäng'!G:G,'Egeninsats &amp; Poäng'!C:C,"Maria Svensson",'Egeninsats &amp; Poäng'!F:F,"F4")</f>
        <v/>
      </c>
      <c r="E215" s="169">
        <f>IFERROR(SUMIFS('Egeninsats &amp; Poäng'!H:H,'Egeninsats &amp; Poäng'!C:C,"Maria Svensson",'Egeninsats &amp; Poäng'!F:F,"F4")/SUMIFS('Egeninsats &amp; Poäng'!G:G,'Egeninsats &amp; Poäng'!C:C,"Maria Svensson",'Egeninsats &amp; Poäng'!F:F,"F4"),"")</f>
        <v/>
      </c>
      <c r="F215" s="169">
        <f>IFERROR(SUMIFS('Egeninsats &amp; Poäng'!I:I,'Egeninsats &amp; Poäng'!C:C,"Maria Svensson",'Egeninsats &amp; Poäng'!F:F,"F4")/SUMIFS('Egeninsats &amp; Poäng'!G:G,'Egeninsats &amp; Poäng'!C:C,"Maria Svensson",'Egeninsats &amp; Poäng'!F:F,"F4"),"")</f>
        <v/>
      </c>
      <c r="G215" s="169">
        <f>SUMIFS('Egeninsats &amp; Poäng'!J:J,'Egeninsats &amp; Poäng'!C:C,"Maria Svensson",'Egeninsats &amp; Poäng'!F:F,"F4")</f>
        <v/>
      </c>
      <c r="H215" s="170">
        <f>IFERROR(SUMIFS('Egeninsats &amp; Poäng'!K:K,'Egeninsats &amp; Poäng'!C:C,"Maria Svensson",'Egeninsats &amp; Poäng'!F:F,"F4")/SUMIFS('Egeninsats &amp; Poäng'!G:G,'Egeninsats &amp; Poäng'!C:C,"Maria Svensson",'Egeninsats &amp; Poäng'!F:F,"F4"),"")</f>
        <v/>
      </c>
      <c r="I215" s="171">
        <f>IFERROR(SUMIFS('Egeninsats &amp; Poäng'!L:L,'Egeninsats &amp; Poäng'!C:C,"Maria Svensson",'Egeninsats &amp; Poäng'!F:F,"F4")/SUMIFS('Egeninsats &amp; Poäng'!G:G,'Egeninsats &amp; Poäng'!C:C,"Maria Svensson",'Egeninsats &amp; Poäng'!F:F,"F4"),"")</f>
        <v/>
      </c>
      <c r="J215" s="172">
        <f>SUMIFS('Egeninsats &amp; Poäng'!M:M,'Egeninsats &amp; Poäng'!C:C,"Maria Svensson",'Egeninsats &amp; Poäng'!F:F,"F4")</f>
        <v/>
      </c>
      <c r="K215" s="173">
        <f>IFERROR(J215/'Equity Dashboard'!E13,"")</f>
        <v/>
      </c>
    </row>
    <row r="216" ht="19.5" customHeight="1" s="87">
      <c r="B216" s="106" t="inlineStr">
        <is>
          <t>F5</t>
        </is>
      </c>
      <c r="C216" s="163">
        <f>Projektinställningar!C28</f>
        <v/>
      </c>
      <c r="D216" s="164">
        <f>SUMIFS('Egeninsats &amp; Poäng'!G:G,'Egeninsats &amp; Poäng'!C:C,"Maria Svensson",'Egeninsats &amp; Poäng'!F:F,"F5")</f>
        <v/>
      </c>
      <c r="E216" s="164">
        <f>IFERROR(SUMIFS('Egeninsats &amp; Poäng'!H:H,'Egeninsats &amp; Poäng'!C:C,"Maria Svensson",'Egeninsats &amp; Poäng'!F:F,"F5")/SUMIFS('Egeninsats &amp; Poäng'!G:G,'Egeninsats &amp; Poäng'!C:C,"Maria Svensson",'Egeninsats &amp; Poäng'!F:F,"F5"),"")</f>
        <v/>
      </c>
      <c r="F216" s="164">
        <f>IFERROR(SUMIFS('Egeninsats &amp; Poäng'!I:I,'Egeninsats &amp; Poäng'!C:C,"Maria Svensson",'Egeninsats &amp; Poäng'!F:F,"F5")/SUMIFS('Egeninsats &amp; Poäng'!G:G,'Egeninsats &amp; Poäng'!C:C,"Maria Svensson",'Egeninsats &amp; Poäng'!F:F,"F5"),"")</f>
        <v/>
      </c>
      <c r="G216" s="164">
        <f>SUMIFS('Egeninsats &amp; Poäng'!J:J,'Egeninsats &amp; Poäng'!C:C,"Maria Svensson",'Egeninsats &amp; Poäng'!F:F,"F5")</f>
        <v/>
      </c>
      <c r="H216" s="165">
        <f>IFERROR(SUMIFS('Egeninsats &amp; Poäng'!K:K,'Egeninsats &amp; Poäng'!C:C,"Maria Svensson",'Egeninsats &amp; Poäng'!F:F,"F5")/SUMIFS('Egeninsats &amp; Poäng'!G:G,'Egeninsats &amp; Poäng'!C:C,"Maria Svensson",'Egeninsats &amp; Poäng'!F:F,"F5"),"")</f>
        <v/>
      </c>
      <c r="I216" s="166">
        <f>IFERROR(SUMIFS('Egeninsats &amp; Poäng'!L:L,'Egeninsats &amp; Poäng'!C:C,"Maria Svensson",'Egeninsats &amp; Poäng'!F:F,"F5")/SUMIFS('Egeninsats &amp; Poäng'!G:G,'Egeninsats &amp; Poäng'!C:C,"Maria Svensson",'Egeninsats &amp; Poäng'!F:F,"F5"),"")</f>
        <v/>
      </c>
      <c r="J216" s="131">
        <f>SUMIFS('Egeninsats &amp; Poäng'!M:M,'Egeninsats &amp; Poäng'!C:C,"Maria Svensson",'Egeninsats &amp; Poäng'!F:F,"F5")</f>
        <v/>
      </c>
      <c r="K216" s="167">
        <f>IFERROR(J216/'Equity Dashboard'!E13,"")</f>
        <v/>
      </c>
    </row>
    <row r="217" ht="19.5" customHeight="1" s="87">
      <c r="B217" s="111" t="inlineStr">
        <is>
          <t>F6</t>
        </is>
      </c>
      <c r="C217" s="168">
        <f>Projektinställningar!C29</f>
        <v/>
      </c>
      <c r="D217" s="169">
        <f>SUMIFS('Egeninsats &amp; Poäng'!G:G,'Egeninsats &amp; Poäng'!C:C,"Maria Svensson",'Egeninsats &amp; Poäng'!F:F,"F6")</f>
        <v/>
      </c>
      <c r="E217" s="169">
        <f>IFERROR(SUMIFS('Egeninsats &amp; Poäng'!H:H,'Egeninsats &amp; Poäng'!C:C,"Maria Svensson",'Egeninsats &amp; Poäng'!F:F,"F6")/SUMIFS('Egeninsats &amp; Poäng'!G:G,'Egeninsats &amp; Poäng'!C:C,"Maria Svensson",'Egeninsats &amp; Poäng'!F:F,"F6"),"")</f>
        <v/>
      </c>
      <c r="F217" s="169">
        <f>IFERROR(SUMIFS('Egeninsats &amp; Poäng'!I:I,'Egeninsats &amp; Poäng'!C:C,"Maria Svensson",'Egeninsats &amp; Poäng'!F:F,"F6")/SUMIFS('Egeninsats &amp; Poäng'!G:G,'Egeninsats &amp; Poäng'!C:C,"Maria Svensson",'Egeninsats &amp; Poäng'!F:F,"F6"),"")</f>
        <v/>
      </c>
      <c r="G217" s="169">
        <f>SUMIFS('Egeninsats &amp; Poäng'!J:J,'Egeninsats &amp; Poäng'!C:C,"Maria Svensson",'Egeninsats &amp; Poäng'!F:F,"F6")</f>
        <v/>
      </c>
      <c r="H217" s="170">
        <f>IFERROR(SUMIFS('Egeninsats &amp; Poäng'!K:K,'Egeninsats &amp; Poäng'!C:C,"Maria Svensson",'Egeninsats &amp; Poäng'!F:F,"F6")/SUMIFS('Egeninsats &amp; Poäng'!G:G,'Egeninsats &amp; Poäng'!C:C,"Maria Svensson",'Egeninsats &amp; Poäng'!F:F,"F6"),"")</f>
        <v/>
      </c>
      <c r="I217" s="171">
        <f>IFERROR(SUMIFS('Egeninsats &amp; Poäng'!L:L,'Egeninsats &amp; Poäng'!C:C,"Maria Svensson",'Egeninsats &amp; Poäng'!F:F,"F6")/SUMIFS('Egeninsats &amp; Poäng'!G:G,'Egeninsats &amp; Poäng'!C:C,"Maria Svensson",'Egeninsats &amp; Poäng'!F:F,"F6"),"")</f>
        <v/>
      </c>
      <c r="J217" s="172">
        <f>SUMIFS('Egeninsats &amp; Poäng'!M:M,'Egeninsats &amp; Poäng'!C:C,"Maria Svensson",'Egeninsats &amp; Poäng'!F:F,"F6")</f>
        <v/>
      </c>
      <c r="K217" s="173">
        <f>IFERROR(J217/'Equity Dashboard'!E13,"")</f>
        <v/>
      </c>
    </row>
    <row r="218" ht="19.5" customHeight="1" s="87">
      <c r="B218" s="106" t="inlineStr">
        <is>
          <t>F7</t>
        </is>
      </c>
      <c r="C218" s="163">
        <f>Projektinställningar!C30</f>
        <v/>
      </c>
      <c r="D218" s="164">
        <f>SUMIFS('Egeninsats &amp; Poäng'!G:G,'Egeninsats &amp; Poäng'!C:C,"Maria Svensson",'Egeninsats &amp; Poäng'!F:F,"F7")</f>
        <v/>
      </c>
      <c r="E218" s="164">
        <f>IFERROR(SUMIFS('Egeninsats &amp; Poäng'!H:H,'Egeninsats &amp; Poäng'!C:C,"Maria Svensson",'Egeninsats &amp; Poäng'!F:F,"F7")/SUMIFS('Egeninsats &amp; Poäng'!G:G,'Egeninsats &amp; Poäng'!C:C,"Maria Svensson",'Egeninsats &amp; Poäng'!F:F,"F7"),"")</f>
        <v/>
      </c>
      <c r="F218" s="164">
        <f>IFERROR(SUMIFS('Egeninsats &amp; Poäng'!I:I,'Egeninsats &amp; Poäng'!C:C,"Maria Svensson",'Egeninsats &amp; Poäng'!F:F,"F7")/SUMIFS('Egeninsats &amp; Poäng'!G:G,'Egeninsats &amp; Poäng'!C:C,"Maria Svensson",'Egeninsats &amp; Poäng'!F:F,"F7"),"")</f>
        <v/>
      </c>
      <c r="G218" s="164">
        <f>SUMIFS('Egeninsats &amp; Poäng'!J:J,'Egeninsats &amp; Poäng'!C:C,"Maria Svensson",'Egeninsats &amp; Poäng'!F:F,"F7")</f>
        <v/>
      </c>
      <c r="H218" s="165">
        <f>IFERROR(SUMIFS('Egeninsats &amp; Poäng'!K:K,'Egeninsats &amp; Poäng'!C:C,"Maria Svensson",'Egeninsats &amp; Poäng'!F:F,"F7")/SUMIFS('Egeninsats &amp; Poäng'!G:G,'Egeninsats &amp; Poäng'!C:C,"Maria Svensson",'Egeninsats &amp; Poäng'!F:F,"F7"),"")</f>
        <v/>
      </c>
      <c r="I218" s="166">
        <f>IFERROR(SUMIFS('Egeninsats &amp; Poäng'!L:L,'Egeninsats &amp; Poäng'!C:C,"Maria Svensson",'Egeninsats &amp; Poäng'!F:F,"F7")/SUMIFS('Egeninsats &amp; Poäng'!G:G,'Egeninsats &amp; Poäng'!C:C,"Maria Svensson",'Egeninsats &amp; Poäng'!F:F,"F7"),"")</f>
        <v/>
      </c>
      <c r="J218" s="131">
        <f>SUMIFS('Egeninsats &amp; Poäng'!M:M,'Egeninsats &amp; Poäng'!C:C,"Maria Svensson",'Egeninsats &amp; Poäng'!F:F,"F7")</f>
        <v/>
      </c>
      <c r="K218" s="167">
        <f>IFERROR(J218/'Equity Dashboard'!E13,"")</f>
        <v/>
      </c>
    </row>
    <row r="219" ht="19.5" customHeight="1" s="87">
      <c r="B219" s="111" t="inlineStr">
        <is>
          <t>F8</t>
        </is>
      </c>
      <c r="C219" s="168">
        <f>Projektinställningar!C31</f>
        <v/>
      </c>
      <c r="D219" s="169">
        <f>SUMIFS('Egeninsats &amp; Poäng'!G:G,'Egeninsats &amp; Poäng'!C:C,"Maria Svensson",'Egeninsats &amp; Poäng'!F:F,"F8")</f>
        <v/>
      </c>
      <c r="E219" s="169">
        <f>IFERROR(SUMIFS('Egeninsats &amp; Poäng'!H:H,'Egeninsats &amp; Poäng'!C:C,"Maria Svensson",'Egeninsats &amp; Poäng'!F:F,"F8")/SUMIFS('Egeninsats &amp; Poäng'!G:G,'Egeninsats &amp; Poäng'!C:C,"Maria Svensson",'Egeninsats &amp; Poäng'!F:F,"F8"),"")</f>
        <v/>
      </c>
      <c r="F219" s="169">
        <f>IFERROR(SUMIFS('Egeninsats &amp; Poäng'!I:I,'Egeninsats &amp; Poäng'!C:C,"Maria Svensson",'Egeninsats &amp; Poäng'!F:F,"F8")/SUMIFS('Egeninsats &amp; Poäng'!G:G,'Egeninsats &amp; Poäng'!C:C,"Maria Svensson",'Egeninsats &amp; Poäng'!F:F,"F8"),"")</f>
        <v/>
      </c>
      <c r="G219" s="169">
        <f>SUMIFS('Egeninsats &amp; Poäng'!J:J,'Egeninsats &amp; Poäng'!C:C,"Maria Svensson",'Egeninsats &amp; Poäng'!F:F,"F8")</f>
        <v/>
      </c>
      <c r="H219" s="170">
        <f>IFERROR(SUMIFS('Egeninsats &amp; Poäng'!K:K,'Egeninsats &amp; Poäng'!C:C,"Maria Svensson",'Egeninsats &amp; Poäng'!F:F,"F8")/SUMIFS('Egeninsats &amp; Poäng'!G:G,'Egeninsats &amp; Poäng'!C:C,"Maria Svensson",'Egeninsats &amp; Poäng'!F:F,"F8"),"")</f>
        <v/>
      </c>
      <c r="I219" s="171">
        <f>IFERROR(SUMIFS('Egeninsats &amp; Poäng'!L:L,'Egeninsats &amp; Poäng'!C:C,"Maria Svensson",'Egeninsats &amp; Poäng'!F:F,"F8")/SUMIFS('Egeninsats &amp; Poäng'!G:G,'Egeninsats &amp; Poäng'!C:C,"Maria Svensson",'Egeninsats &amp; Poäng'!F:F,"F8"),"")</f>
        <v/>
      </c>
      <c r="J219" s="172">
        <f>SUMIFS('Egeninsats &amp; Poäng'!M:M,'Egeninsats &amp; Poäng'!C:C,"Maria Svensson",'Egeninsats &amp; Poäng'!F:F,"F8")</f>
        <v/>
      </c>
      <c r="K219" s="173">
        <f>IFERROR(J219/'Equity Dashboard'!E13,"")</f>
        <v/>
      </c>
    </row>
    <row r="220" ht="21.75" customHeight="1" s="87">
      <c r="B220" s="174" t="inlineStr">
        <is>
          <t>TOTALT</t>
        </is>
      </c>
      <c r="C220" s="100" t="n"/>
      <c r="D220" s="175">
        <f>SUM(D212:D219)</f>
        <v/>
      </c>
      <c r="E220" s="176" t="n"/>
      <c r="F220" s="176" t="n"/>
      <c r="G220" s="175">
        <f>SUM(G212:G219)</f>
        <v/>
      </c>
      <c r="H220" s="176" t="n"/>
      <c r="I220" s="176" t="n"/>
      <c r="J220" s="177">
        <f>SUM(J212:J219)</f>
        <v/>
      </c>
      <c r="K220" s="176" t="n"/>
    </row>
    <row r="221" ht="12" customHeight="1" s="87"/>
    <row r="222" ht="19.5" customHeight="1" s="87">
      <c r="B222" s="159" t="inlineStr">
        <is>
          <t>DIN ANDEL I RECOUPMENT-VATTENFALLET</t>
        </is>
      </c>
      <c r="C222" s="99" t="n"/>
      <c r="D222" s="99" t="n"/>
      <c r="E222" s="99" t="n"/>
      <c r="F222" s="99" t="n"/>
      <c r="G222" s="99" t="n"/>
      <c r="H222" s="99" t="n"/>
      <c r="I222" s="99" t="n"/>
      <c r="J222" s="99" t="n"/>
      <c r="K222" s="100" t="n"/>
    </row>
    <row r="223" ht="27.75" customHeight="1" s="87">
      <c r="B223" s="178" t="inlineStr">
        <is>
          <t>Din ägarandel (%) multipliceras med Crew-poolen (50% av netto efter distribution, finansiär och deferred fees).</t>
        </is>
      </c>
    </row>
    <row r="224" ht="30" customHeight="1" s="87">
      <c r="B224" s="151" t="inlineStr">
        <is>
          <t>Scenario A
(Litet utfall)</t>
        </is>
      </c>
      <c r="C224" s="99" t="n"/>
      <c r="D224" s="100" t="n"/>
      <c r="E224" s="151" t="inlineStr">
        <is>
          <t>Scenario B
(Mellant)</t>
        </is>
      </c>
      <c r="F224" s="99" t="n"/>
      <c r="G224" s="100" t="n"/>
      <c r="H224" s="151" t="inlineStr">
        <is>
          <t>Scenario C
(Stort utfall)</t>
        </is>
      </c>
      <c r="I224" s="99" t="n"/>
      <c r="J224" s="100" t="n"/>
    </row>
    <row r="225" ht="19.5" customHeight="1" s="87">
      <c r="B225" s="179" t="inlineStr">
        <is>
          <t>Crew-pool:</t>
        </is>
      </c>
      <c r="C225" s="99" t="n"/>
      <c r="D225" s="100" t="n"/>
      <c r="E225" s="179" t="inlineStr">
        <is>
          <t>Crew-pool:</t>
        </is>
      </c>
      <c r="F225" s="99" t="n"/>
      <c r="G225" s="100" t="n"/>
      <c r="H225" s="179" t="inlineStr">
        <is>
          <t>Crew-pool:</t>
        </is>
      </c>
      <c r="I225" s="99" t="n"/>
      <c r="J225" s="100" t="n"/>
    </row>
    <row r="226" ht="36" customHeight="1" s="87">
      <c r="B226" s="179">
        <f>'Waterfall Simulering'!D22</f>
        <v/>
      </c>
      <c r="C226" s="99" t="n"/>
      <c r="D226" s="100" t="n"/>
      <c r="E226" s="179">
        <f>'Waterfall Simulering'!E22</f>
        <v/>
      </c>
      <c r="F226" s="99" t="n"/>
      <c r="G226" s="100" t="n"/>
      <c r="H226" s="179">
        <f>'Waterfall Simulering'!F22</f>
        <v/>
      </c>
      <c r="I226" s="99" t="n"/>
      <c r="J226" s="100" t="n"/>
    </row>
    <row r="227" ht="12" customHeight="1" s="87">
      <c r="B227" s="180">
        <f>'Equity Dashboard'!F13*'Waterfall Simulering'!D22</f>
        <v/>
      </c>
      <c r="E227" s="180">
        <f>'Equity Dashboard'!F13*'Waterfall Simulering'!E22</f>
        <v/>
      </c>
      <c r="H227" s="180">
        <f>'Equity Dashboard'!F13*'Waterfall Simulering'!F22</f>
        <v/>
      </c>
    </row>
    <row r="228" ht="15.75" customHeight="1" s="87">
      <c r="B228" s="181" t="inlineStr">
        <is>
          <t>Detta utdrag är konfidentiellt och avsett enbart för mottagaren. Utfärdat av producenten.</t>
        </is>
      </c>
    </row>
    <row r="231" ht="4.5" customHeight="1" s="87"/>
    <row r="232" ht="7.5" customHeight="1" s="87"/>
    <row r="233" ht="24" customHeight="1" s="87">
      <c r="B233" s="156">
        <f>Projektinställningar!C5</f>
        <v/>
      </c>
    </row>
    <row r="234" ht="18" customHeight="1" s="87">
      <c r="B234" s="157" t="inlineStr">
        <is>
          <t>Ägarandelsutdrag — Samägande filmproduktion</t>
        </is>
      </c>
    </row>
    <row r="235" ht="6" customHeight="1" s="87">
      <c r="B235" s="90" t="n"/>
      <c r="C235" s="90" t="n"/>
      <c r="D235" s="90" t="n"/>
      <c r="E235" s="90" t="n"/>
      <c r="F235" s="90" t="n"/>
      <c r="G235" s="90" t="n"/>
      <c r="H235" s="90" t="n"/>
      <c r="I235" s="90" t="n"/>
      <c r="J235" s="90" t="n"/>
      <c r="K235" s="90" t="n"/>
    </row>
    <row r="236" ht="9.75" customHeight="1" s="87"/>
    <row r="237" ht="27.75" customHeight="1" s="87">
      <c r="B237" s="88" t="inlineStr">
        <is>
          <t>Kalle Strand</t>
        </is>
      </c>
    </row>
    <row r="238" ht="18" customHeight="1" s="87">
      <c r="B238" s="158" t="inlineStr">
        <is>
          <t>PA</t>
        </is>
      </c>
    </row>
    <row r="239" ht="7.5" customHeight="1" s="87"/>
    <row r="240" ht="18" customHeight="1" s="87">
      <c r="B240" s="159" t="inlineStr">
        <is>
          <t>TOTALT DEFERRED (SEK)</t>
        </is>
      </c>
      <c r="C240" s="99" t="n"/>
      <c r="D240" s="100" t="n"/>
      <c r="E240" s="159" t="inlineStr">
        <is>
          <t>TOTALA POÄNG</t>
        </is>
      </c>
      <c r="F240" s="99" t="n"/>
      <c r="G240" s="100" t="n"/>
      <c r="H240" s="159" t="inlineStr">
        <is>
          <t>ÄGARANDEL</t>
        </is>
      </c>
      <c r="I240" s="99" t="n"/>
      <c r="J240" s="100" t="n"/>
    </row>
    <row r="241" ht="31.5" customHeight="1" s="87">
      <c r="B241" s="160">
        <f>'Equity Dashboard'!D14</f>
        <v/>
      </c>
      <c r="C241" s="99" t="n"/>
      <c r="D241" s="100" t="n"/>
      <c r="E241" s="161">
        <f>'Equity Dashboard'!E14</f>
        <v/>
      </c>
      <c r="F241" s="99" t="n"/>
      <c r="G241" s="100" t="n"/>
      <c r="H241" s="162">
        <f>'Equity Dashboard'!F14</f>
        <v/>
      </c>
      <c r="I241" s="99" t="n"/>
      <c r="J241" s="100" t="n"/>
    </row>
    <row r="242" ht="12" customHeight="1" s="87"/>
    <row r="243" ht="19.5" customHeight="1" s="87">
      <c r="B243" s="159" t="inlineStr">
        <is>
          <t>POÄNGHISTORIK PER FAS</t>
        </is>
      </c>
      <c r="C243" s="99" t="n"/>
      <c r="D243" s="99" t="n"/>
      <c r="E243" s="99" t="n"/>
      <c r="F243" s="99" t="n"/>
      <c r="G243" s="99" t="n"/>
      <c r="H243" s="99" t="n"/>
      <c r="I243" s="99" t="n"/>
      <c r="J243" s="99" t="n"/>
      <c r="K243" s="100" t="n"/>
    </row>
    <row r="244" ht="30" customHeight="1" s="87">
      <c r="B244" s="145" t="inlineStr">
        <is>
          <t>Fas</t>
        </is>
      </c>
      <c r="C244" s="145" t="inlineStr">
        <is>
          <t>Benämning</t>
        </is>
      </c>
      <c r="D244" s="145" t="inlineStr">
        <is>
          <t>Dagar</t>
        </is>
      </c>
      <c r="E244" s="145" t="inlineStr">
        <is>
          <t>Cash Fee/dag</t>
        </is>
      </c>
      <c r="F244" s="145" t="inlineStr">
        <is>
          <t>Markn.pris/dag</t>
        </is>
      </c>
      <c r="G244" s="145" t="inlineStr">
        <is>
          <t>Deferred (SEK)</t>
        </is>
      </c>
      <c r="H244" s="145" t="inlineStr">
        <is>
          <t>Grundp./dag</t>
        </is>
      </c>
      <c r="I244" s="145" t="inlineStr">
        <is>
          <t>Klassmult.</t>
        </is>
      </c>
      <c r="J244" s="145" t="inlineStr">
        <is>
          <t>Poäng</t>
        </is>
      </c>
      <c r="K244" s="145" t="inlineStr">
        <is>
          <t>Andel av egna</t>
        </is>
      </c>
    </row>
    <row r="245" ht="19.5" customHeight="1" s="87">
      <c r="B245" s="106" t="inlineStr">
        <is>
          <t>F1</t>
        </is>
      </c>
      <c r="C245" s="163">
        <f>Projektinställningar!C24</f>
        <v/>
      </c>
      <c r="D245" s="164">
        <f>SUMIFS('Egeninsats &amp; Poäng'!G:G,'Egeninsats &amp; Poäng'!C:C,"Kalle Strand",'Egeninsats &amp; Poäng'!F:F,"F1")</f>
        <v/>
      </c>
      <c r="E245" s="164">
        <f>IFERROR(SUMIFS('Egeninsats &amp; Poäng'!H:H,'Egeninsats &amp; Poäng'!C:C,"Kalle Strand",'Egeninsats &amp; Poäng'!F:F,"F1")/SUMIFS('Egeninsats &amp; Poäng'!G:G,'Egeninsats &amp; Poäng'!C:C,"Kalle Strand",'Egeninsats &amp; Poäng'!F:F,"F1"),"")</f>
        <v/>
      </c>
      <c r="F245" s="164">
        <f>IFERROR(SUMIFS('Egeninsats &amp; Poäng'!I:I,'Egeninsats &amp; Poäng'!C:C,"Kalle Strand",'Egeninsats &amp; Poäng'!F:F,"F1")/SUMIFS('Egeninsats &amp; Poäng'!G:G,'Egeninsats &amp; Poäng'!C:C,"Kalle Strand",'Egeninsats &amp; Poäng'!F:F,"F1"),"")</f>
        <v/>
      </c>
      <c r="G245" s="164">
        <f>SUMIFS('Egeninsats &amp; Poäng'!J:J,'Egeninsats &amp; Poäng'!C:C,"Kalle Strand",'Egeninsats &amp; Poäng'!F:F,"F1")</f>
        <v/>
      </c>
      <c r="H245" s="165">
        <f>IFERROR(SUMIFS('Egeninsats &amp; Poäng'!K:K,'Egeninsats &amp; Poäng'!C:C,"Kalle Strand",'Egeninsats &amp; Poäng'!F:F,"F1")/SUMIFS('Egeninsats &amp; Poäng'!G:G,'Egeninsats &amp; Poäng'!C:C,"Kalle Strand",'Egeninsats &amp; Poäng'!F:F,"F1"),"")</f>
        <v/>
      </c>
      <c r="I245" s="166">
        <f>IFERROR(SUMIFS('Egeninsats &amp; Poäng'!L:L,'Egeninsats &amp; Poäng'!C:C,"Kalle Strand",'Egeninsats &amp; Poäng'!F:F,"F1")/SUMIFS('Egeninsats &amp; Poäng'!G:G,'Egeninsats &amp; Poäng'!C:C,"Kalle Strand",'Egeninsats &amp; Poäng'!F:F,"F1"),"")</f>
        <v/>
      </c>
      <c r="J245" s="131">
        <f>SUMIFS('Egeninsats &amp; Poäng'!M:M,'Egeninsats &amp; Poäng'!C:C,"Kalle Strand",'Egeninsats &amp; Poäng'!F:F,"F1")</f>
        <v/>
      </c>
      <c r="K245" s="167">
        <f>IFERROR(J245/'Equity Dashboard'!E14,"")</f>
        <v/>
      </c>
    </row>
    <row r="246" ht="19.5" customHeight="1" s="87">
      <c r="B246" s="111" t="inlineStr">
        <is>
          <t>F2</t>
        </is>
      </c>
      <c r="C246" s="168">
        <f>Projektinställningar!C25</f>
        <v/>
      </c>
      <c r="D246" s="169">
        <f>SUMIFS('Egeninsats &amp; Poäng'!G:G,'Egeninsats &amp; Poäng'!C:C,"Kalle Strand",'Egeninsats &amp; Poäng'!F:F,"F2")</f>
        <v/>
      </c>
      <c r="E246" s="169">
        <f>IFERROR(SUMIFS('Egeninsats &amp; Poäng'!H:H,'Egeninsats &amp; Poäng'!C:C,"Kalle Strand",'Egeninsats &amp; Poäng'!F:F,"F2")/SUMIFS('Egeninsats &amp; Poäng'!G:G,'Egeninsats &amp; Poäng'!C:C,"Kalle Strand",'Egeninsats &amp; Poäng'!F:F,"F2"),"")</f>
        <v/>
      </c>
      <c r="F246" s="169">
        <f>IFERROR(SUMIFS('Egeninsats &amp; Poäng'!I:I,'Egeninsats &amp; Poäng'!C:C,"Kalle Strand",'Egeninsats &amp; Poäng'!F:F,"F2")/SUMIFS('Egeninsats &amp; Poäng'!G:G,'Egeninsats &amp; Poäng'!C:C,"Kalle Strand",'Egeninsats &amp; Poäng'!F:F,"F2"),"")</f>
        <v/>
      </c>
      <c r="G246" s="169">
        <f>SUMIFS('Egeninsats &amp; Poäng'!J:J,'Egeninsats &amp; Poäng'!C:C,"Kalle Strand",'Egeninsats &amp; Poäng'!F:F,"F2")</f>
        <v/>
      </c>
      <c r="H246" s="170">
        <f>IFERROR(SUMIFS('Egeninsats &amp; Poäng'!K:K,'Egeninsats &amp; Poäng'!C:C,"Kalle Strand",'Egeninsats &amp; Poäng'!F:F,"F2")/SUMIFS('Egeninsats &amp; Poäng'!G:G,'Egeninsats &amp; Poäng'!C:C,"Kalle Strand",'Egeninsats &amp; Poäng'!F:F,"F2"),"")</f>
        <v/>
      </c>
      <c r="I246" s="171">
        <f>IFERROR(SUMIFS('Egeninsats &amp; Poäng'!L:L,'Egeninsats &amp; Poäng'!C:C,"Kalle Strand",'Egeninsats &amp; Poäng'!F:F,"F2")/SUMIFS('Egeninsats &amp; Poäng'!G:G,'Egeninsats &amp; Poäng'!C:C,"Kalle Strand",'Egeninsats &amp; Poäng'!F:F,"F2"),"")</f>
        <v/>
      </c>
      <c r="J246" s="172">
        <f>SUMIFS('Egeninsats &amp; Poäng'!M:M,'Egeninsats &amp; Poäng'!C:C,"Kalle Strand",'Egeninsats &amp; Poäng'!F:F,"F2")</f>
        <v/>
      </c>
      <c r="K246" s="173">
        <f>IFERROR(J246/'Equity Dashboard'!E14,"")</f>
        <v/>
      </c>
    </row>
    <row r="247" ht="19.5" customHeight="1" s="87">
      <c r="B247" s="106" t="inlineStr">
        <is>
          <t>F3</t>
        </is>
      </c>
      <c r="C247" s="163">
        <f>Projektinställningar!C26</f>
        <v/>
      </c>
      <c r="D247" s="164">
        <f>SUMIFS('Egeninsats &amp; Poäng'!G:G,'Egeninsats &amp; Poäng'!C:C,"Kalle Strand",'Egeninsats &amp; Poäng'!F:F,"F3")</f>
        <v/>
      </c>
      <c r="E247" s="164">
        <f>IFERROR(SUMIFS('Egeninsats &amp; Poäng'!H:H,'Egeninsats &amp; Poäng'!C:C,"Kalle Strand",'Egeninsats &amp; Poäng'!F:F,"F3")/SUMIFS('Egeninsats &amp; Poäng'!G:G,'Egeninsats &amp; Poäng'!C:C,"Kalle Strand",'Egeninsats &amp; Poäng'!F:F,"F3"),"")</f>
        <v/>
      </c>
      <c r="F247" s="164">
        <f>IFERROR(SUMIFS('Egeninsats &amp; Poäng'!I:I,'Egeninsats &amp; Poäng'!C:C,"Kalle Strand",'Egeninsats &amp; Poäng'!F:F,"F3")/SUMIFS('Egeninsats &amp; Poäng'!G:G,'Egeninsats &amp; Poäng'!C:C,"Kalle Strand",'Egeninsats &amp; Poäng'!F:F,"F3"),"")</f>
        <v/>
      </c>
      <c r="G247" s="164">
        <f>SUMIFS('Egeninsats &amp; Poäng'!J:J,'Egeninsats &amp; Poäng'!C:C,"Kalle Strand",'Egeninsats &amp; Poäng'!F:F,"F3")</f>
        <v/>
      </c>
      <c r="H247" s="165">
        <f>IFERROR(SUMIFS('Egeninsats &amp; Poäng'!K:K,'Egeninsats &amp; Poäng'!C:C,"Kalle Strand",'Egeninsats &amp; Poäng'!F:F,"F3")/SUMIFS('Egeninsats &amp; Poäng'!G:G,'Egeninsats &amp; Poäng'!C:C,"Kalle Strand",'Egeninsats &amp; Poäng'!F:F,"F3"),"")</f>
        <v/>
      </c>
      <c r="I247" s="166">
        <f>IFERROR(SUMIFS('Egeninsats &amp; Poäng'!L:L,'Egeninsats &amp; Poäng'!C:C,"Kalle Strand",'Egeninsats &amp; Poäng'!F:F,"F3")/SUMIFS('Egeninsats &amp; Poäng'!G:G,'Egeninsats &amp; Poäng'!C:C,"Kalle Strand",'Egeninsats &amp; Poäng'!F:F,"F3"),"")</f>
        <v/>
      </c>
      <c r="J247" s="131">
        <f>SUMIFS('Egeninsats &amp; Poäng'!M:M,'Egeninsats &amp; Poäng'!C:C,"Kalle Strand",'Egeninsats &amp; Poäng'!F:F,"F3")</f>
        <v/>
      </c>
      <c r="K247" s="167">
        <f>IFERROR(J247/'Equity Dashboard'!E14,"")</f>
        <v/>
      </c>
    </row>
    <row r="248" ht="19.5" customHeight="1" s="87">
      <c r="B248" s="111" t="inlineStr">
        <is>
          <t>F4</t>
        </is>
      </c>
      <c r="C248" s="168">
        <f>Projektinställningar!C27</f>
        <v/>
      </c>
      <c r="D248" s="169">
        <f>SUMIFS('Egeninsats &amp; Poäng'!G:G,'Egeninsats &amp; Poäng'!C:C,"Kalle Strand",'Egeninsats &amp; Poäng'!F:F,"F4")</f>
        <v/>
      </c>
      <c r="E248" s="169">
        <f>IFERROR(SUMIFS('Egeninsats &amp; Poäng'!H:H,'Egeninsats &amp; Poäng'!C:C,"Kalle Strand",'Egeninsats &amp; Poäng'!F:F,"F4")/SUMIFS('Egeninsats &amp; Poäng'!G:G,'Egeninsats &amp; Poäng'!C:C,"Kalle Strand",'Egeninsats &amp; Poäng'!F:F,"F4"),"")</f>
        <v/>
      </c>
      <c r="F248" s="169">
        <f>IFERROR(SUMIFS('Egeninsats &amp; Poäng'!I:I,'Egeninsats &amp; Poäng'!C:C,"Kalle Strand",'Egeninsats &amp; Poäng'!F:F,"F4")/SUMIFS('Egeninsats &amp; Poäng'!G:G,'Egeninsats &amp; Poäng'!C:C,"Kalle Strand",'Egeninsats &amp; Poäng'!F:F,"F4"),"")</f>
        <v/>
      </c>
      <c r="G248" s="169">
        <f>SUMIFS('Egeninsats &amp; Poäng'!J:J,'Egeninsats &amp; Poäng'!C:C,"Kalle Strand",'Egeninsats &amp; Poäng'!F:F,"F4")</f>
        <v/>
      </c>
      <c r="H248" s="170">
        <f>IFERROR(SUMIFS('Egeninsats &amp; Poäng'!K:K,'Egeninsats &amp; Poäng'!C:C,"Kalle Strand",'Egeninsats &amp; Poäng'!F:F,"F4")/SUMIFS('Egeninsats &amp; Poäng'!G:G,'Egeninsats &amp; Poäng'!C:C,"Kalle Strand",'Egeninsats &amp; Poäng'!F:F,"F4"),"")</f>
        <v/>
      </c>
      <c r="I248" s="171">
        <f>IFERROR(SUMIFS('Egeninsats &amp; Poäng'!L:L,'Egeninsats &amp; Poäng'!C:C,"Kalle Strand",'Egeninsats &amp; Poäng'!F:F,"F4")/SUMIFS('Egeninsats &amp; Poäng'!G:G,'Egeninsats &amp; Poäng'!C:C,"Kalle Strand",'Egeninsats &amp; Poäng'!F:F,"F4"),"")</f>
        <v/>
      </c>
      <c r="J248" s="172">
        <f>SUMIFS('Egeninsats &amp; Poäng'!M:M,'Egeninsats &amp; Poäng'!C:C,"Kalle Strand",'Egeninsats &amp; Poäng'!F:F,"F4")</f>
        <v/>
      </c>
      <c r="K248" s="173">
        <f>IFERROR(J248/'Equity Dashboard'!E14,"")</f>
        <v/>
      </c>
    </row>
    <row r="249" ht="19.5" customHeight="1" s="87">
      <c r="B249" s="106" t="inlineStr">
        <is>
          <t>F5</t>
        </is>
      </c>
      <c r="C249" s="163">
        <f>Projektinställningar!C28</f>
        <v/>
      </c>
      <c r="D249" s="164">
        <f>SUMIFS('Egeninsats &amp; Poäng'!G:G,'Egeninsats &amp; Poäng'!C:C,"Kalle Strand",'Egeninsats &amp; Poäng'!F:F,"F5")</f>
        <v/>
      </c>
      <c r="E249" s="164">
        <f>IFERROR(SUMIFS('Egeninsats &amp; Poäng'!H:H,'Egeninsats &amp; Poäng'!C:C,"Kalle Strand",'Egeninsats &amp; Poäng'!F:F,"F5")/SUMIFS('Egeninsats &amp; Poäng'!G:G,'Egeninsats &amp; Poäng'!C:C,"Kalle Strand",'Egeninsats &amp; Poäng'!F:F,"F5"),"")</f>
        <v/>
      </c>
      <c r="F249" s="164">
        <f>IFERROR(SUMIFS('Egeninsats &amp; Poäng'!I:I,'Egeninsats &amp; Poäng'!C:C,"Kalle Strand",'Egeninsats &amp; Poäng'!F:F,"F5")/SUMIFS('Egeninsats &amp; Poäng'!G:G,'Egeninsats &amp; Poäng'!C:C,"Kalle Strand",'Egeninsats &amp; Poäng'!F:F,"F5"),"")</f>
        <v/>
      </c>
      <c r="G249" s="164">
        <f>SUMIFS('Egeninsats &amp; Poäng'!J:J,'Egeninsats &amp; Poäng'!C:C,"Kalle Strand",'Egeninsats &amp; Poäng'!F:F,"F5")</f>
        <v/>
      </c>
      <c r="H249" s="165">
        <f>IFERROR(SUMIFS('Egeninsats &amp; Poäng'!K:K,'Egeninsats &amp; Poäng'!C:C,"Kalle Strand",'Egeninsats &amp; Poäng'!F:F,"F5")/SUMIFS('Egeninsats &amp; Poäng'!G:G,'Egeninsats &amp; Poäng'!C:C,"Kalle Strand",'Egeninsats &amp; Poäng'!F:F,"F5"),"")</f>
        <v/>
      </c>
      <c r="I249" s="166">
        <f>IFERROR(SUMIFS('Egeninsats &amp; Poäng'!L:L,'Egeninsats &amp; Poäng'!C:C,"Kalle Strand",'Egeninsats &amp; Poäng'!F:F,"F5")/SUMIFS('Egeninsats &amp; Poäng'!G:G,'Egeninsats &amp; Poäng'!C:C,"Kalle Strand",'Egeninsats &amp; Poäng'!F:F,"F5"),"")</f>
        <v/>
      </c>
      <c r="J249" s="131">
        <f>SUMIFS('Egeninsats &amp; Poäng'!M:M,'Egeninsats &amp; Poäng'!C:C,"Kalle Strand",'Egeninsats &amp; Poäng'!F:F,"F5")</f>
        <v/>
      </c>
      <c r="K249" s="167">
        <f>IFERROR(J249/'Equity Dashboard'!E14,"")</f>
        <v/>
      </c>
    </row>
    <row r="250" ht="19.5" customHeight="1" s="87">
      <c r="B250" s="111" t="inlineStr">
        <is>
          <t>F6</t>
        </is>
      </c>
      <c r="C250" s="168">
        <f>Projektinställningar!C29</f>
        <v/>
      </c>
      <c r="D250" s="169">
        <f>SUMIFS('Egeninsats &amp; Poäng'!G:G,'Egeninsats &amp; Poäng'!C:C,"Kalle Strand",'Egeninsats &amp; Poäng'!F:F,"F6")</f>
        <v/>
      </c>
      <c r="E250" s="169">
        <f>IFERROR(SUMIFS('Egeninsats &amp; Poäng'!H:H,'Egeninsats &amp; Poäng'!C:C,"Kalle Strand",'Egeninsats &amp; Poäng'!F:F,"F6")/SUMIFS('Egeninsats &amp; Poäng'!G:G,'Egeninsats &amp; Poäng'!C:C,"Kalle Strand",'Egeninsats &amp; Poäng'!F:F,"F6"),"")</f>
        <v/>
      </c>
      <c r="F250" s="169">
        <f>IFERROR(SUMIFS('Egeninsats &amp; Poäng'!I:I,'Egeninsats &amp; Poäng'!C:C,"Kalle Strand",'Egeninsats &amp; Poäng'!F:F,"F6")/SUMIFS('Egeninsats &amp; Poäng'!G:G,'Egeninsats &amp; Poäng'!C:C,"Kalle Strand",'Egeninsats &amp; Poäng'!F:F,"F6"),"")</f>
        <v/>
      </c>
      <c r="G250" s="169">
        <f>SUMIFS('Egeninsats &amp; Poäng'!J:J,'Egeninsats &amp; Poäng'!C:C,"Kalle Strand",'Egeninsats &amp; Poäng'!F:F,"F6")</f>
        <v/>
      </c>
      <c r="H250" s="170">
        <f>IFERROR(SUMIFS('Egeninsats &amp; Poäng'!K:K,'Egeninsats &amp; Poäng'!C:C,"Kalle Strand",'Egeninsats &amp; Poäng'!F:F,"F6")/SUMIFS('Egeninsats &amp; Poäng'!G:G,'Egeninsats &amp; Poäng'!C:C,"Kalle Strand",'Egeninsats &amp; Poäng'!F:F,"F6"),"")</f>
        <v/>
      </c>
      <c r="I250" s="171">
        <f>IFERROR(SUMIFS('Egeninsats &amp; Poäng'!L:L,'Egeninsats &amp; Poäng'!C:C,"Kalle Strand",'Egeninsats &amp; Poäng'!F:F,"F6")/SUMIFS('Egeninsats &amp; Poäng'!G:G,'Egeninsats &amp; Poäng'!C:C,"Kalle Strand",'Egeninsats &amp; Poäng'!F:F,"F6"),"")</f>
        <v/>
      </c>
      <c r="J250" s="172">
        <f>SUMIFS('Egeninsats &amp; Poäng'!M:M,'Egeninsats &amp; Poäng'!C:C,"Kalle Strand",'Egeninsats &amp; Poäng'!F:F,"F6")</f>
        <v/>
      </c>
      <c r="K250" s="173">
        <f>IFERROR(J250/'Equity Dashboard'!E14,"")</f>
        <v/>
      </c>
    </row>
    <row r="251" ht="19.5" customHeight="1" s="87">
      <c r="B251" s="106" t="inlineStr">
        <is>
          <t>F7</t>
        </is>
      </c>
      <c r="C251" s="163">
        <f>Projektinställningar!C30</f>
        <v/>
      </c>
      <c r="D251" s="164">
        <f>SUMIFS('Egeninsats &amp; Poäng'!G:G,'Egeninsats &amp; Poäng'!C:C,"Kalle Strand",'Egeninsats &amp; Poäng'!F:F,"F7")</f>
        <v/>
      </c>
      <c r="E251" s="164">
        <f>IFERROR(SUMIFS('Egeninsats &amp; Poäng'!H:H,'Egeninsats &amp; Poäng'!C:C,"Kalle Strand",'Egeninsats &amp; Poäng'!F:F,"F7")/SUMIFS('Egeninsats &amp; Poäng'!G:G,'Egeninsats &amp; Poäng'!C:C,"Kalle Strand",'Egeninsats &amp; Poäng'!F:F,"F7"),"")</f>
        <v/>
      </c>
      <c r="F251" s="164">
        <f>IFERROR(SUMIFS('Egeninsats &amp; Poäng'!I:I,'Egeninsats &amp; Poäng'!C:C,"Kalle Strand",'Egeninsats &amp; Poäng'!F:F,"F7")/SUMIFS('Egeninsats &amp; Poäng'!G:G,'Egeninsats &amp; Poäng'!C:C,"Kalle Strand",'Egeninsats &amp; Poäng'!F:F,"F7"),"")</f>
        <v/>
      </c>
      <c r="G251" s="164">
        <f>SUMIFS('Egeninsats &amp; Poäng'!J:J,'Egeninsats &amp; Poäng'!C:C,"Kalle Strand",'Egeninsats &amp; Poäng'!F:F,"F7")</f>
        <v/>
      </c>
      <c r="H251" s="165">
        <f>IFERROR(SUMIFS('Egeninsats &amp; Poäng'!K:K,'Egeninsats &amp; Poäng'!C:C,"Kalle Strand",'Egeninsats &amp; Poäng'!F:F,"F7")/SUMIFS('Egeninsats &amp; Poäng'!G:G,'Egeninsats &amp; Poäng'!C:C,"Kalle Strand",'Egeninsats &amp; Poäng'!F:F,"F7"),"")</f>
        <v/>
      </c>
      <c r="I251" s="166">
        <f>IFERROR(SUMIFS('Egeninsats &amp; Poäng'!L:L,'Egeninsats &amp; Poäng'!C:C,"Kalle Strand",'Egeninsats &amp; Poäng'!F:F,"F7")/SUMIFS('Egeninsats &amp; Poäng'!G:G,'Egeninsats &amp; Poäng'!C:C,"Kalle Strand",'Egeninsats &amp; Poäng'!F:F,"F7"),"")</f>
        <v/>
      </c>
      <c r="J251" s="131">
        <f>SUMIFS('Egeninsats &amp; Poäng'!M:M,'Egeninsats &amp; Poäng'!C:C,"Kalle Strand",'Egeninsats &amp; Poäng'!F:F,"F7")</f>
        <v/>
      </c>
      <c r="K251" s="167">
        <f>IFERROR(J251/'Equity Dashboard'!E14,"")</f>
        <v/>
      </c>
    </row>
    <row r="252" ht="19.5" customHeight="1" s="87">
      <c r="B252" s="111" t="inlineStr">
        <is>
          <t>F8</t>
        </is>
      </c>
      <c r="C252" s="168">
        <f>Projektinställningar!C31</f>
        <v/>
      </c>
      <c r="D252" s="169">
        <f>SUMIFS('Egeninsats &amp; Poäng'!G:G,'Egeninsats &amp; Poäng'!C:C,"Kalle Strand",'Egeninsats &amp; Poäng'!F:F,"F8")</f>
        <v/>
      </c>
      <c r="E252" s="169">
        <f>IFERROR(SUMIFS('Egeninsats &amp; Poäng'!H:H,'Egeninsats &amp; Poäng'!C:C,"Kalle Strand",'Egeninsats &amp; Poäng'!F:F,"F8")/SUMIFS('Egeninsats &amp; Poäng'!G:G,'Egeninsats &amp; Poäng'!C:C,"Kalle Strand",'Egeninsats &amp; Poäng'!F:F,"F8"),"")</f>
        <v/>
      </c>
      <c r="F252" s="169">
        <f>IFERROR(SUMIFS('Egeninsats &amp; Poäng'!I:I,'Egeninsats &amp; Poäng'!C:C,"Kalle Strand",'Egeninsats &amp; Poäng'!F:F,"F8")/SUMIFS('Egeninsats &amp; Poäng'!G:G,'Egeninsats &amp; Poäng'!C:C,"Kalle Strand",'Egeninsats &amp; Poäng'!F:F,"F8"),"")</f>
        <v/>
      </c>
      <c r="G252" s="169">
        <f>SUMIFS('Egeninsats &amp; Poäng'!J:J,'Egeninsats &amp; Poäng'!C:C,"Kalle Strand",'Egeninsats &amp; Poäng'!F:F,"F8")</f>
        <v/>
      </c>
      <c r="H252" s="170">
        <f>IFERROR(SUMIFS('Egeninsats &amp; Poäng'!K:K,'Egeninsats &amp; Poäng'!C:C,"Kalle Strand",'Egeninsats &amp; Poäng'!F:F,"F8")/SUMIFS('Egeninsats &amp; Poäng'!G:G,'Egeninsats &amp; Poäng'!C:C,"Kalle Strand",'Egeninsats &amp; Poäng'!F:F,"F8"),"")</f>
        <v/>
      </c>
      <c r="I252" s="171">
        <f>IFERROR(SUMIFS('Egeninsats &amp; Poäng'!L:L,'Egeninsats &amp; Poäng'!C:C,"Kalle Strand",'Egeninsats &amp; Poäng'!F:F,"F8")/SUMIFS('Egeninsats &amp; Poäng'!G:G,'Egeninsats &amp; Poäng'!C:C,"Kalle Strand",'Egeninsats &amp; Poäng'!F:F,"F8"),"")</f>
        <v/>
      </c>
      <c r="J252" s="172">
        <f>SUMIFS('Egeninsats &amp; Poäng'!M:M,'Egeninsats &amp; Poäng'!C:C,"Kalle Strand",'Egeninsats &amp; Poäng'!F:F,"F8")</f>
        <v/>
      </c>
      <c r="K252" s="173">
        <f>IFERROR(J252/'Equity Dashboard'!E14,"")</f>
        <v/>
      </c>
    </row>
    <row r="253" ht="21.75" customHeight="1" s="87">
      <c r="B253" s="174" t="inlineStr">
        <is>
          <t>TOTALT</t>
        </is>
      </c>
      <c r="C253" s="100" t="n"/>
      <c r="D253" s="175">
        <f>SUM(D245:D252)</f>
        <v/>
      </c>
      <c r="E253" s="176" t="n"/>
      <c r="F253" s="176" t="n"/>
      <c r="G253" s="175">
        <f>SUM(G245:G252)</f>
        <v/>
      </c>
      <c r="H253" s="176" t="n"/>
      <c r="I253" s="176" t="n"/>
      <c r="J253" s="177">
        <f>SUM(J245:J252)</f>
        <v/>
      </c>
      <c r="K253" s="176" t="n"/>
    </row>
    <row r="254" ht="12" customHeight="1" s="87"/>
    <row r="255" ht="19.5" customHeight="1" s="87">
      <c r="B255" s="159" t="inlineStr">
        <is>
          <t>DIN ANDEL I RECOUPMENT-VATTENFALLET</t>
        </is>
      </c>
      <c r="C255" s="99" t="n"/>
      <c r="D255" s="99" t="n"/>
      <c r="E255" s="99" t="n"/>
      <c r="F255" s="99" t="n"/>
      <c r="G255" s="99" t="n"/>
      <c r="H255" s="99" t="n"/>
      <c r="I255" s="99" t="n"/>
      <c r="J255" s="99" t="n"/>
      <c r="K255" s="100" t="n"/>
    </row>
    <row r="256" ht="27.75" customHeight="1" s="87">
      <c r="B256" s="178" t="inlineStr">
        <is>
          <t>Din ägarandel (%) multipliceras med Crew-poolen (50% av netto efter distribution, finansiär och deferred fees).</t>
        </is>
      </c>
    </row>
    <row r="257" ht="30" customHeight="1" s="87">
      <c r="B257" s="151" t="inlineStr">
        <is>
          <t>Scenario A
(Litet utfall)</t>
        </is>
      </c>
      <c r="C257" s="99" t="n"/>
      <c r="D257" s="100" t="n"/>
      <c r="E257" s="151" t="inlineStr">
        <is>
          <t>Scenario B
(Mellant)</t>
        </is>
      </c>
      <c r="F257" s="99" t="n"/>
      <c r="G257" s="100" t="n"/>
      <c r="H257" s="151" t="inlineStr">
        <is>
          <t>Scenario C
(Stort utfall)</t>
        </is>
      </c>
      <c r="I257" s="99" t="n"/>
      <c r="J257" s="100" t="n"/>
    </row>
    <row r="258" ht="19.5" customHeight="1" s="87">
      <c r="B258" s="179" t="inlineStr">
        <is>
          <t>Crew-pool:</t>
        </is>
      </c>
      <c r="C258" s="99" t="n"/>
      <c r="D258" s="100" t="n"/>
      <c r="E258" s="179" t="inlineStr">
        <is>
          <t>Crew-pool:</t>
        </is>
      </c>
      <c r="F258" s="99" t="n"/>
      <c r="G258" s="100" t="n"/>
      <c r="H258" s="179" t="inlineStr">
        <is>
          <t>Crew-pool:</t>
        </is>
      </c>
      <c r="I258" s="99" t="n"/>
      <c r="J258" s="100" t="n"/>
    </row>
    <row r="259" ht="36" customHeight="1" s="87">
      <c r="B259" s="179">
        <f>'Waterfall Simulering'!D22</f>
        <v/>
      </c>
      <c r="C259" s="99" t="n"/>
      <c r="D259" s="100" t="n"/>
      <c r="E259" s="179">
        <f>'Waterfall Simulering'!E22</f>
        <v/>
      </c>
      <c r="F259" s="99" t="n"/>
      <c r="G259" s="100" t="n"/>
      <c r="H259" s="179">
        <f>'Waterfall Simulering'!F22</f>
        <v/>
      </c>
      <c r="I259" s="99" t="n"/>
      <c r="J259" s="100" t="n"/>
    </row>
    <row r="260" ht="12" customHeight="1" s="87">
      <c r="B260" s="180">
        <f>'Equity Dashboard'!F14*'Waterfall Simulering'!D22</f>
        <v/>
      </c>
      <c r="E260" s="180">
        <f>'Equity Dashboard'!F14*'Waterfall Simulering'!E22</f>
        <v/>
      </c>
      <c r="H260" s="180">
        <f>'Equity Dashboard'!F14*'Waterfall Simulering'!F22</f>
        <v/>
      </c>
    </row>
    <row r="261" ht="15.75" customHeight="1" s="87">
      <c r="B261" s="181" t="inlineStr">
        <is>
          <t>Detta utdrag är konfidentiellt och avsett enbart för mottagaren. Utfärdat av producenten.</t>
        </is>
      </c>
    </row>
  </sheetData>
  <mergeCells count="192">
    <mergeCell ref="B42:D42"/>
    <mergeCell ref="B106:F106"/>
    <mergeCell ref="B7:F7"/>
    <mergeCell ref="B60:D60"/>
    <mergeCell ref="B30:K30"/>
    <mergeCell ref="E158:G158"/>
    <mergeCell ref="B22:C22"/>
    <mergeCell ref="E108:G108"/>
    <mergeCell ref="E257:G257"/>
    <mergeCell ref="B256:K256"/>
    <mergeCell ref="E226:G226"/>
    <mergeCell ref="H109:J109"/>
    <mergeCell ref="H174:J174"/>
    <mergeCell ref="B28:D28"/>
    <mergeCell ref="B238:F238"/>
    <mergeCell ref="B108:D108"/>
    <mergeCell ref="B257:D257"/>
    <mergeCell ref="B35:H35"/>
    <mergeCell ref="H75:J75"/>
    <mergeCell ref="B144:K144"/>
    <mergeCell ref="H158:J158"/>
    <mergeCell ref="E26:G26"/>
    <mergeCell ref="B92:D92"/>
    <mergeCell ref="B200:H200"/>
    <mergeCell ref="B158:D158"/>
    <mergeCell ref="B3:H3"/>
    <mergeCell ref="B241:D241"/>
    <mergeCell ref="B142:D142"/>
    <mergeCell ref="H160:J160"/>
    <mergeCell ref="B94:D94"/>
    <mergeCell ref="B160:D160"/>
    <mergeCell ref="B96:K96"/>
    <mergeCell ref="B172:F172"/>
    <mergeCell ref="H92:J92"/>
    <mergeCell ref="B2:H2"/>
    <mergeCell ref="B228:K228"/>
    <mergeCell ref="B210:K210"/>
    <mergeCell ref="H224:J224"/>
    <mergeCell ref="B111:K111"/>
    <mergeCell ref="B125:D125"/>
    <mergeCell ref="B55:C55"/>
    <mergeCell ref="B159:D159"/>
    <mergeCell ref="E42:G42"/>
    <mergeCell ref="B6:F6"/>
    <mergeCell ref="B208:D208"/>
    <mergeCell ref="H193:J193"/>
    <mergeCell ref="E126:G126"/>
    <mergeCell ref="E141:G141"/>
    <mergeCell ref="B162:K162"/>
    <mergeCell ref="E92:G92"/>
    <mergeCell ref="B234:H234"/>
    <mergeCell ref="B43:D43"/>
    <mergeCell ref="B154:C154"/>
    <mergeCell ref="B259:D259"/>
    <mergeCell ref="H192:J192"/>
    <mergeCell ref="B168:H168"/>
    <mergeCell ref="H226:J226"/>
    <mergeCell ref="E28:G28"/>
    <mergeCell ref="H60:J60"/>
    <mergeCell ref="B225:D225"/>
    <mergeCell ref="E60:G60"/>
    <mergeCell ref="B72:F72"/>
    <mergeCell ref="H241:J241"/>
    <mergeCell ref="B175:D175"/>
    <mergeCell ref="E59:G59"/>
    <mergeCell ref="B124:K124"/>
    <mergeCell ref="E241:G241"/>
    <mergeCell ref="B220:C220"/>
    <mergeCell ref="B10:D10"/>
    <mergeCell ref="B105:F105"/>
    <mergeCell ref="B45:K45"/>
    <mergeCell ref="B189:K189"/>
    <mergeCell ref="E191:G191"/>
    <mergeCell ref="E225:G225"/>
    <mergeCell ref="B135:H135"/>
    <mergeCell ref="B253:C253"/>
    <mergeCell ref="E94:G94"/>
    <mergeCell ref="B233:H233"/>
    <mergeCell ref="H27:J27"/>
    <mergeCell ref="E61:G61"/>
    <mergeCell ref="B9:D9"/>
    <mergeCell ref="B134:H134"/>
    <mergeCell ref="E125:G125"/>
    <mergeCell ref="B190:K190"/>
    <mergeCell ref="E159:G159"/>
    <mergeCell ref="H42:J42"/>
    <mergeCell ref="B76:D76"/>
    <mergeCell ref="B171:F171"/>
    <mergeCell ref="B207:D207"/>
    <mergeCell ref="E109:G109"/>
    <mergeCell ref="H126:J126"/>
    <mergeCell ref="H141:J141"/>
    <mergeCell ref="E258:G258"/>
    <mergeCell ref="B126:D126"/>
    <mergeCell ref="B75:D75"/>
    <mergeCell ref="H175:J175"/>
    <mergeCell ref="E43:G43"/>
    <mergeCell ref="B109:D109"/>
    <mergeCell ref="H125:J125"/>
    <mergeCell ref="B141:D141"/>
    <mergeCell ref="B59:D59"/>
    <mergeCell ref="B193:D193"/>
    <mergeCell ref="H240:J240"/>
    <mergeCell ref="B204:F204"/>
    <mergeCell ref="H127:J127"/>
    <mergeCell ref="B243:K243"/>
    <mergeCell ref="E259:G259"/>
    <mergeCell ref="H59:J59"/>
    <mergeCell ref="E240:G240"/>
    <mergeCell ref="E10:G10"/>
    <mergeCell ref="B255:K255"/>
    <mergeCell ref="H191:J191"/>
    <mergeCell ref="B68:H68"/>
    <mergeCell ref="H108:J108"/>
    <mergeCell ref="B121:C121"/>
    <mergeCell ref="H61:J61"/>
    <mergeCell ref="B177:K177"/>
    <mergeCell ref="E9:G9"/>
    <mergeCell ref="H257:J257"/>
    <mergeCell ref="B191:D191"/>
    <mergeCell ref="B222:K222"/>
    <mergeCell ref="B258:D258"/>
    <mergeCell ref="B63:K63"/>
    <mergeCell ref="B39:F39"/>
    <mergeCell ref="B123:K123"/>
    <mergeCell ref="E207:G207"/>
    <mergeCell ref="H208:J208"/>
    <mergeCell ref="B226:D226"/>
    <mergeCell ref="B91:K91"/>
    <mergeCell ref="B25:K25"/>
    <mergeCell ref="H258:J258"/>
    <mergeCell ref="B156:K156"/>
    <mergeCell ref="B88:C88"/>
    <mergeCell ref="B192:D192"/>
    <mergeCell ref="B73:F73"/>
    <mergeCell ref="E193:G193"/>
    <mergeCell ref="H76:J76"/>
    <mergeCell ref="E208:G208"/>
    <mergeCell ref="B167:H167"/>
    <mergeCell ref="B12:K12"/>
    <mergeCell ref="E192:G192"/>
    <mergeCell ref="H26:J26"/>
    <mergeCell ref="B187:C187"/>
    <mergeCell ref="H10:J10"/>
    <mergeCell ref="E127:G127"/>
    <mergeCell ref="E142:G142"/>
    <mergeCell ref="B139:F139"/>
    <mergeCell ref="B93:D93"/>
    <mergeCell ref="H9:J9"/>
    <mergeCell ref="B78:K78"/>
    <mergeCell ref="B138:F138"/>
    <mergeCell ref="B240:D240"/>
    <mergeCell ref="H142:J142"/>
    <mergeCell ref="H207:J207"/>
    <mergeCell ref="B61:D61"/>
    <mergeCell ref="H94:J94"/>
    <mergeCell ref="B201:H201"/>
    <mergeCell ref="B24:K24"/>
    <mergeCell ref="B174:D174"/>
    <mergeCell ref="B36:H36"/>
    <mergeCell ref="H159:J159"/>
    <mergeCell ref="E27:G27"/>
    <mergeCell ref="H28:J28"/>
    <mergeCell ref="B127:D127"/>
    <mergeCell ref="B129:K129"/>
    <mergeCell ref="E76:G76"/>
    <mergeCell ref="B90:K90"/>
    <mergeCell ref="B261:K261"/>
    <mergeCell ref="E174:G174"/>
    <mergeCell ref="B102:H102"/>
    <mergeCell ref="B58:K58"/>
    <mergeCell ref="E75:G75"/>
    <mergeCell ref="B205:F205"/>
    <mergeCell ref="B223:K223"/>
    <mergeCell ref="E93:G93"/>
    <mergeCell ref="B26:D26"/>
    <mergeCell ref="H225:J225"/>
    <mergeCell ref="B224:D224"/>
    <mergeCell ref="B195:K195"/>
    <mergeCell ref="B40:F40"/>
    <mergeCell ref="H43:J43"/>
    <mergeCell ref="B101:H101"/>
    <mergeCell ref="E160:G160"/>
    <mergeCell ref="E175:G175"/>
    <mergeCell ref="B57:K57"/>
    <mergeCell ref="H259:J259"/>
    <mergeCell ref="B157:K157"/>
    <mergeCell ref="H93:J93"/>
    <mergeCell ref="B69:H69"/>
    <mergeCell ref="B27:D27"/>
    <mergeCell ref="E224:G224"/>
    <mergeCell ref="B237:F237"/>
  </mergeCells>
  <printOptions horizontalCentered="0" verticalCentered="0" headings="0" gridLines="0" gridLinesSet="1"/>
  <pageMargins left="0.6" right="0.6" top="0.7" bottom="0.7" header="0.511811023622047" footer="0.511811023622047"/>
  <pageSetup orientation="portrait" paperSize="1" scale="100" fitToHeight="0" fitToWidth="1" pageOrder="downThenOver" blackAndWhite="0" draft="0" horizontalDpi="300" verticalDpi="300" copies="1"/>
  <rowBreaks count="7" manualBreakCount="7">
    <brk id="33" min="0" max="16383" man="1"/>
    <brk id="66" min="0" max="16383" man="1"/>
    <brk id="99" min="0" max="16383" man="1"/>
    <brk id="132" min="0" max="16383" man="1"/>
    <brk id="165" min="0" max="16383" man="1"/>
    <brk id="198" min="0" max="16383" man="1"/>
    <brk id="23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2026-09-14T18:41:33Z</dcterms:created>
  <dcterms:modified xmlns:dcterms="http://purl.org/dc/terms/" xmlns:xsi="http://www.w3.org/2001/XMLSchema-instance" xsi:type="dcterms:W3CDTF">2026-09-21T14:32:24Z</dcterms:modified>
  <cp:revision>0</cp:revision>
</cp:coreProperties>
</file>