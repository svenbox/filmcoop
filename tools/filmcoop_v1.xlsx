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ktioner" sheetId="1" state="visible" r:id="rId3"/>
    <sheet name="Projektinställningar" sheetId="2" state="visible" r:id="rId4"/>
    <sheet name="Egeninsats &amp; Poäng" sheetId="3" state="visible" r:id="rId5"/>
    <sheet name="Equity Dashboard" sheetId="4" state="visible" r:id="rId6"/>
    <sheet name="Fasbudget" sheetId="5" state="visible" r:id="rId7"/>
    <sheet name="Waterfall Simulering" sheetId="6" state="visible" r:id="rId8"/>
    <sheet name="Personutdrag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<sst xmlns="http://schemas.openxmlformats.org/spreadsheetml/2006/main" count="600" uniqueCount="270">
  <si>
    <t xml:space="preserve">SAMÄGANDE FILMPRODUKTION</t>
  </si>
  <si>
    <t xml:space="preserve">Tillägg till SFI:s budgetmall — Equity &amp; Poängregister v1.0</t>
  </si>
  <si>
    <t xml:space="preserve">OM DETTA VERKTYG</t>
  </si>
  <si>
    <t xml:space="preserve">Detta kalkylblad är ett tillägg till SFI:s standardmall för filmbudget. Det lägger ett poäng- och equity-lager ovanpå den befintliga egeninsats-strukturen utan att ändra budgetens format eller SFI-kompatibilitet.</t>
  </si>
  <si>
    <t xml:space="preserve">FLIKAR</t>
  </si>
  <si>
    <t xml:space="preserve">① Instruktioner</t>
  </si>
  <si>
    <t xml:space="preserve">Den här sidan. Läs igenom en gång.</t>
  </si>
  <si>
    <t xml:space="preserve">② Projektinställningar</t>
  </si>
  <si>
    <t xml:space="preserve">Projektnamn, bolag, fasindelning och poängtabell. Fyll i dessa först.</t>
  </si>
  <si>
    <t xml:space="preserve">③ Egeninsats &amp; Poäng</t>
  </si>
  <si>
    <t xml:space="preserve">Huvudregistret. En rad per person per fas. Kopplar till SFI-mallens egeninsats-flik.</t>
  </si>
  <si>
    <t xml:space="preserve">④ Equity Dashboard</t>
  </si>
  <si>
    <t xml:space="preserve">Automatisk sammanställning. Visar ägarandelar, waterfall och per-person-utdrag.</t>
  </si>
  <si>
    <t xml:space="preserve">⑤ Fasbudget</t>
  </si>
  <si>
    <t xml:space="preserve">Helhetsbudget uppdelad per produktionsfas. Knyter an till SFI-posternas struktur.</t>
  </si>
  <si>
    <t xml:space="preserve">⑦ Personutdrag</t>
  </si>
  <si>
    <t xml:space="preserve">Utskrivbart utdrag per person. Visar poänghistorik, ägarandel och waterfall-andel i tre scenarier. En sida per person.</t>
  </si>
  <si>
    <t xml:space="preserve">INMATNINGSPRINCIP</t>
  </si>
  <si>
    <t xml:space="preserve">Blå text</t>
  </si>
  <si>
    <t xml:space="preserve">Inmatningsceller — fyll i dessa manuellt.</t>
  </si>
  <si>
    <t xml:space="preserve">Svart text</t>
  </si>
  <si>
    <t xml:space="preserve">Formelceller — rör dem inte.</t>
  </si>
  <si>
    <t xml:space="preserve">Gul bakgrund</t>
  </si>
  <si>
    <t xml:space="preserve">Viktig inmatning som måste fyllas i.</t>
  </si>
  <si>
    <t xml:space="preserve">ARBETSFLÖDE</t>
  </si>
  <si>
    <t xml:space="preserve">Steg 1</t>
  </si>
  <si>
    <t xml:space="preserve">Fyll i Projektinställningar (namn, faser, poängtabell).</t>
  </si>
  <si>
    <t xml:space="preserve">Steg 2</t>
  </si>
  <si>
    <t xml:space="preserve">Fyll i Egeninsats &amp; Poäng — en rad per person per fas.</t>
  </si>
  <si>
    <t xml:space="preserve">Steg 3</t>
  </si>
  <si>
    <t xml:space="preserve">Kontrollera Equity Dashboard att summorna stämmer.</t>
  </si>
  <si>
    <t xml:space="preserve">Steg 4</t>
  </si>
  <si>
    <t xml:space="preserve">Använd Fasbudget för att fördela budget per produktionsfas.</t>
  </si>
  <si>
    <t xml:space="preserve">Steg 5</t>
  </si>
  <si>
    <t xml:space="preserve">Kör Waterfall Simulering vid finansiärsmöten eller Lock-tidpunkter.</t>
  </si>
  <si>
    <t xml:space="preserve">LOCK-PUNKTER</t>
  </si>
  <si>
    <t xml:space="preserve">Lock 1 — Green Light</t>
  </si>
  <si>
    <t xml:space="preserve">Fastställ poäng för F1 (Development) och F2 (Pre-production). Markera datum i Projektinställningar.</t>
  </si>
  <si>
    <t xml:space="preserve">Lock 2 — Wrap</t>
  </si>
  <si>
    <t xml:space="preserve">Fastställ poäng för F3 (Production). Uppdatera om ny finansiär tillkommit.</t>
  </si>
  <si>
    <t xml:space="preserve">Lock 3 — Leverans</t>
  </si>
  <si>
    <t xml:space="preserve">Fastställ poäng för F4 (Post) och F5 (Promotion). Slutgiltigt register.</t>
  </si>
  <si>
    <t xml:space="preserve">PROJEKTINSTÄLLNINGAR</t>
  </si>
  <si>
    <t xml:space="preserve">PROJEKTINFORMATION</t>
  </si>
  <si>
    <t xml:space="preserve">Projektnamn</t>
  </si>
  <si>
    <t xml:space="preserve">Filmtiteln</t>
  </si>
  <si>
    <t xml:space="preserve">Produktionsbolag</t>
  </si>
  <si>
    <t xml:space="preserve">AB / HB / Kooperativ</t>
  </si>
  <si>
    <t xml:space="preserve">Projektledare / Producent</t>
  </si>
  <si>
    <t xml:space="preserve">Namn</t>
  </si>
  <si>
    <t xml:space="preserve">Startdatum Development</t>
  </si>
  <si>
    <t xml:space="preserve">ÅÅÅÅ-MM-DD</t>
  </si>
  <si>
    <t xml:space="preserve">Beräknad inspelningsstart</t>
  </si>
  <si>
    <t xml:space="preserve">Beräknad leverans</t>
  </si>
  <si>
    <t xml:space="preserve">Total budget (inkl deferred)</t>
  </si>
  <si>
    <t xml:space="preserve">SEK</t>
  </si>
  <si>
    <t xml:space="preserve">Varav kontant budget</t>
  </si>
  <si>
    <t xml:space="preserve">Varav egeninsats / deferred</t>
  </si>
  <si>
    <t xml:space="preserve">FASINDELNING &amp; POÄNGTABELL</t>
  </si>
  <si>
    <t xml:space="preserve">Fas</t>
  </si>
  <si>
    <t xml:space="preserve">Benämning</t>
  </si>
  <si>
    <t xml:space="preserve">Aktiveras</t>
  </si>
  <si>
    <t xml:space="preserve">Grundpoäng/dag</t>
  </si>
  <si>
    <t xml:space="preserve">Riskpremie</t>
  </si>
  <si>
    <t xml:space="preserve">Poäng×premie</t>
  </si>
  <si>
    <t xml:space="preserve">Kommentar</t>
  </si>
  <si>
    <t xml:space="preserve">F1</t>
  </si>
  <si>
    <t xml:space="preserve">Development</t>
  </si>
  <si>
    <t xml:space="preserve">JA</t>
  </si>
  <si>
    <t xml:space="preserve">F2</t>
  </si>
  <si>
    <t xml:space="preserve">Pre-production</t>
  </si>
  <si>
    <t xml:space="preserve">F3</t>
  </si>
  <si>
    <t xml:space="preserve">Pilot / Testinsp.</t>
  </si>
  <si>
    <t xml:space="preserve">NEJ</t>
  </si>
  <si>
    <t xml:space="preserve">F4</t>
  </si>
  <si>
    <t xml:space="preserve">Production Fas 1</t>
  </si>
  <si>
    <t xml:space="preserve">F5</t>
  </si>
  <si>
    <t xml:space="preserve">Production Fas 2</t>
  </si>
  <si>
    <t xml:space="preserve">F6</t>
  </si>
  <si>
    <t xml:space="preserve">Post-production</t>
  </si>
  <si>
    <t xml:space="preserve">F7</t>
  </si>
  <si>
    <t xml:space="preserve">Promotion / Lansering</t>
  </si>
  <si>
    <t xml:space="preserve">F8</t>
  </si>
  <si>
    <t xml:space="preserve">Övrigt</t>
  </si>
  <si>
    <t xml:space="preserve">FUNKTIONSKLASS-MULTIPLIKATORER</t>
  </si>
  <si>
    <t xml:space="preserve">Klass</t>
  </si>
  <si>
    <t xml:space="preserve">Beskrivning</t>
  </si>
  <si>
    <t xml:space="preserve">Multiplikator</t>
  </si>
  <si>
    <t xml:space="preserve">Exempel</t>
  </si>
  <si>
    <t xml:space="preserve">A</t>
  </si>
  <si>
    <t xml:space="preserve">Nyckelkreativ / Avdelningsansvarig, unik</t>
  </si>
  <si>
    <t xml:space="preserve">Regissör, DOP, Scenograf, Klippare, Producent (lead)</t>
  </si>
  <si>
    <t xml:space="preserve">B</t>
  </si>
  <si>
    <t xml:space="preserve">Ledande funktion / avdelningschef</t>
  </si>
  <si>
    <t xml:space="preserve">1:e AD, Kostymör, Ljudmästare, Colorist, Manusförfattare</t>
  </si>
  <si>
    <t xml:space="preserve">C</t>
  </si>
  <si>
    <t xml:space="preserve">Operativt bidrag / stödfunktion</t>
  </si>
  <si>
    <t xml:space="preserve">PA, Grip, Gaffer, Rekvisitör, övrig crew</t>
  </si>
  <si>
    <t xml:space="preserve">EGENINSATS &amp; POÄNGREGISTER</t>
  </si>
  <si>
    <t xml:space="preserve">Kopplar till SFI-mallens Egeninsats-flik  ·  Blå text = fyll i manuellt  ·  Svart text = formel</t>
  </si>
  <si>
    <t xml:space="preserve">#</t>
  </si>
  <si>
    <t xml:space="preserve">Roll / Befattning</t>
  </si>
  <si>
    <t xml:space="preserve">Dagar</t>
  </si>
  <si>
    <t xml:space="preserve">Cash Fee
(SEK/dag)</t>
  </si>
  <si>
    <t xml:space="preserve">Markn.pris
(SEK/dag)</t>
  </si>
  <si>
    <t xml:space="preserve">Deferred
Fee (SEK)</t>
  </si>
  <si>
    <t xml:space="preserve">Grundp./dag
(från inst.)</t>
  </si>
  <si>
    <t xml:space="preserve">Klassmult.
(från inst.)</t>
  </si>
  <si>
    <t xml:space="preserve">Poäng
(beräknat)</t>
  </si>
  <si>
    <t xml:space="preserve">Anteckningar</t>
  </si>
  <si>
    <t xml:space="preserve">Anna Lindström</t>
  </si>
  <si>
    <t xml:space="preserve">Regissör</t>
  </si>
  <si>
    <t xml:space="preserve">Erik Johansson</t>
  </si>
  <si>
    <t xml:space="preserve">DOP</t>
  </si>
  <si>
    <t xml:space="preserve">Sara Nilsson</t>
  </si>
  <si>
    <t xml:space="preserve">1:e AD</t>
  </si>
  <si>
    <t xml:space="preserve">Per Gustafsson</t>
  </si>
  <si>
    <t xml:space="preserve">Producent</t>
  </si>
  <si>
    <t xml:space="preserve">Lena Berg</t>
  </si>
  <si>
    <t xml:space="preserve">Scenograf</t>
  </si>
  <si>
    <t xml:space="preserve">Johan Ek</t>
  </si>
  <si>
    <t xml:space="preserve">Klippare</t>
  </si>
  <si>
    <t xml:space="preserve">Maria Svensson</t>
  </si>
  <si>
    <t xml:space="preserve">Kostymör</t>
  </si>
  <si>
    <t xml:space="preserve">Kalle Strand</t>
  </si>
  <si>
    <t xml:space="preserve">PA</t>
  </si>
  <si>
    <t xml:space="preserve">SUMMERING</t>
  </si>
  <si>
    <t xml:space="preserve">EQUITY DASHBOARD</t>
  </si>
  <si>
    <t xml:space="preserve">Automatisk sammanställning — uppdateras när Egeninsats &amp; Poäng fylls i</t>
  </si>
  <si>
    <t xml:space="preserve">ÄGARANDELAR PER PERSON</t>
  </si>
  <si>
    <t xml:space="preserve">Roll</t>
  </si>
  <si>
    <t xml:space="preserve">Total deferred (SEK)</t>
  </si>
  <si>
    <t xml:space="preserve">Totala poäng</t>
  </si>
  <si>
    <t xml:space="preserve">Ägarandel (%)</t>
  </si>
  <si>
    <t xml:space="preserve">Status</t>
  </si>
  <si>
    <t xml:space="preserve">Aktiv</t>
  </si>
  <si>
    <t xml:space="preserve">TOTALT</t>
  </si>
  <si>
    <t xml:space="preserve">FASBUDGET — HELHETSBUDGET PER PRODUKTIONSFAS</t>
  </si>
  <si>
    <t xml:space="preserve">Knyter an till SFI-posternas struktur (01–26). Varje cell är manuell inmatning eller länk från detaljbudget.</t>
  </si>
  <si>
    <t xml:space="preserve">SFI-post</t>
  </si>
  <si>
    <t xml:space="preserve">F1
Development</t>
  </si>
  <si>
    <t xml:space="preserve">F2
Pre-prod</t>
  </si>
  <si>
    <t xml:space="preserve">F3
Pilot</t>
  </si>
  <si>
    <t xml:space="preserve">F4
Prod Fas 1</t>
  </si>
  <si>
    <t xml:space="preserve">F5
Prod Fas 2</t>
  </si>
  <si>
    <t xml:space="preserve">F6
Post</t>
  </si>
  <si>
    <t xml:space="preserve">F7
Lansering</t>
  </si>
  <si>
    <t xml:space="preserve">01</t>
  </si>
  <si>
    <t xml:space="preserve">MANUS &amp; FÖRARBETE</t>
  </si>
  <si>
    <t xml:space="preserve">01.1</t>
  </si>
  <si>
    <t xml:space="preserve">Manusarvode</t>
  </si>
  <si>
    <t xml:space="preserve">01.2</t>
  </si>
  <si>
    <t xml:space="preserve">Manuskonsultation</t>
  </si>
  <si>
    <t xml:space="preserve">01.3</t>
  </si>
  <si>
    <t xml:space="preserve">Research</t>
  </si>
  <si>
    <t xml:space="preserve">02</t>
  </si>
  <si>
    <t xml:space="preserve">RÄTTIGHETER</t>
  </si>
  <si>
    <t xml:space="preserve">02.1</t>
  </si>
  <si>
    <t xml:space="preserve">Optionsarvode</t>
  </si>
  <si>
    <t xml:space="preserve">03</t>
  </si>
  <si>
    <t xml:space="preserve">PRODUCENT &amp; PROJEKTLEDNING</t>
  </si>
  <si>
    <t xml:space="preserve">03.1</t>
  </si>
  <si>
    <t xml:space="preserve">Producentarvode</t>
  </si>
  <si>
    <t xml:space="preserve">03.2</t>
  </si>
  <si>
    <t xml:space="preserve">Linjeprodukton</t>
  </si>
  <si>
    <t xml:space="preserve">04</t>
  </si>
  <si>
    <t xml:space="preserve">REGI</t>
  </si>
  <si>
    <t xml:space="preserve">04.1</t>
  </si>
  <si>
    <t xml:space="preserve">Regiarvode</t>
  </si>
  <si>
    <t xml:space="preserve">04.2</t>
  </si>
  <si>
    <t xml:space="preserve">Regiassistans</t>
  </si>
  <si>
    <t xml:space="preserve">05</t>
  </si>
  <si>
    <t xml:space="preserve">SKÅDESPELERI</t>
  </si>
  <si>
    <t xml:space="preserve">05.1</t>
  </si>
  <si>
    <t xml:space="preserve">Huvudroller</t>
  </si>
  <si>
    <t xml:space="preserve">05.2</t>
  </si>
  <si>
    <t xml:space="preserve">Biroller</t>
  </si>
  <si>
    <t xml:space="preserve">06</t>
  </si>
  <si>
    <t xml:space="preserve">FOTO &amp; KAMERATEKNIK</t>
  </si>
  <si>
    <t xml:space="preserve">06.1</t>
  </si>
  <si>
    <t xml:space="preserve">DOP-arvode</t>
  </si>
  <si>
    <t xml:space="preserve">06.2</t>
  </si>
  <si>
    <t xml:space="preserve">Kamerautrustning</t>
  </si>
  <si>
    <t xml:space="preserve">07</t>
  </si>
  <si>
    <t xml:space="preserve">LJUS &amp; ELEKTRISK</t>
  </si>
  <si>
    <t xml:space="preserve">08</t>
  </si>
  <si>
    <t xml:space="preserve">LJUD</t>
  </si>
  <si>
    <t xml:space="preserve">09</t>
  </si>
  <si>
    <t xml:space="preserve">SCENOGRAFI &amp; REKVISITA</t>
  </si>
  <si>
    <t xml:space="preserve">10</t>
  </si>
  <si>
    <t xml:space="preserve">KOSTYM &amp; MASK</t>
  </si>
  <si>
    <t xml:space="preserve">11</t>
  </si>
  <si>
    <t xml:space="preserve">LOCATIONS &amp; STUDIOR</t>
  </si>
  <si>
    <t xml:space="preserve">12</t>
  </si>
  <si>
    <t xml:space="preserve">TRANSPORT</t>
  </si>
  <si>
    <t xml:space="preserve">13</t>
  </si>
  <si>
    <t xml:space="preserve">CATERING &amp; LOGI</t>
  </si>
  <si>
    <t xml:space="preserve">14</t>
  </si>
  <si>
    <t xml:space="preserve">INSPELNINGSLEDNING</t>
  </si>
  <si>
    <t xml:space="preserve">15</t>
  </si>
  <si>
    <t xml:space="preserve">POSTPRODUKTION — BILD</t>
  </si>
  <si>
    <t xml:space="preserve">15.1</t>
  </si>
  <si>
    <t xml:space="preserve">Klippning</t>
  </si>
  <si>
    <t xml:space="preserve">15.2</t>
  </si>
  <si>
    <t xml:space="preserve">VFX &amp; DI</t>
  </si>
  <si>
    <t xml:space="preserve">16</t>
  </si>
  <si>
    <t xml:space="preserve">POSTPRODUKTION — LJUD</t>
  </si>
  <si>
    <t xml:space="preserve">16.1</t>
  </si>
  <si>
    <t xml:space="preserve">Ljuddesign &amp; mix</t>
  </si>
  <si>
    <t xml:space="preserve">17</t>
  </si>
  <si>
    <t xml:space="preserve">MUSIK</t>
  </si>
  <si>
    <t xml:space="preserve">18</t>
  </si>
  <si>
    <t xml:space="preserve">TEXTNING &amp; DUBBNING</t>
  </si>
  <si>
    <t xml:space="preserve">19</t>
  </si>
  <si>
    <t xml:space="preserve">MASTERING &amp; LEVERANS</t>
  </si>
  <si>
    <t xml:space="preserve">20</t>
  </si>
  <si>
    <t xml:space="preserve">FESTIVALER &amp; PROMOTION</t>
  </si>
  <si>
    <t xml:space="preserve">21</t>
  </si>
  <si>
    <t xml:space="preserve">FÖRSÄKRINGAR</t>
  </si>
  <si>
    <t xml:space="preserve">22</t>
  </si>
  <si>
    <t xml:space="preserve">ADMINISTRATION &amp; OVERHEAD</t>
  </si>
  <si>
    <t xml:space="preserve">23</t>
  </si>
  <si>
    <t xml:space="preserve">FINANCIAL &amp; LEGAL</t>
  </si>
  <si>
    <t xml:space="preserve">24</t>
  </si>
  <si>
    <t xml:space="preserve">OFÖRUTSETT (5%)</t>
  </si>
  <si>
    <t xml:space="preserve">25</t>
  </si>
  <si>
    <t xml:space="preserve">EGENINSATS / DEFERRED</t>
  </si>
  <si>
    <t xml:space="preserve">26</t>
  </si>
  <si>
    <t xml:space="preserve">TOTALT BUDGET</t>
  </si>
  <si>
    <t xml:space="preserve">WATERFALL — RECOUPMENT SIMULERING</t>
  </si>
  <si>
    <t xml:space="preserve">Simulera utfall vid tre scenarier. Blå celler = inmatning.</t>
  </si>
  <si>
    <t xml:space="preserve">Scenario A
(Litet utfall)</t>
  </si>
  <si>
    <t xml:space="preserve">Scenario B
(Mellanstort)</t>
  </si>
  <si>
    <t xml:space="preserve">Scenario C
(Stort utfall)</t>
  </si>
  <si>
    <t xml:space="preserve">INPARAMETRAR (fyll i)</t>
  </si>
  <si>
    <t xml:space="preserve">Bruttointäkt (SEK)</t>
  </si>
  <si>
    <t xml:space="preserve">Distributionsavgift (%)</t>
  </si>
  <si>
    <t xml:space="preserve">Kontant budget / negativkostnad (SEK)</t>
  </si>
  <si>
    <t xml:space="preserve">Extern finansiärs kapital (SEK)</t>
  </si>
  <si>
    <t xml:space="preserve">Finansiärs avkastningsmultiplikator</t>
  </si>
  <si>
    <t xml:space="preserve">Total deferred fee pool (SEK, från Dashboard)</t>
  </si>
  <si>
    <t xml:space="preserve">WATERFALL-BERÄKNING</t>
  </si>
  <si>
    <t xml:space="preserve">Steg 1  Bruttointäkt</t>
  </si>
  <si>
    <t xml:space="preserve">Steg 1b  — Distributionsavgift (–)</t>
  </si>
  <si>
    <t xml:space="preserve">NETTO EFTER DISTRIBUTION</t>
  </si>
  <si>
    <t xml:space="preserve">Steg 2  — Extern finansiärs recoupment (–)</t>
  </si>
  <si>
    <t xml:space="preserve">NETTO EFTER FINANSIÄR</t>
  </si>
  <si>
    <t xml:space="preserve">Steg 3  — Deferred fee pool (–)</t>
  </si>
  <si>
    <t xml:space="preserve">NETTO EFTER DEFERRED</t>
  </si>
  <si>
    <t xml:space="preserve">Steg 4  Crew equity-pool (50% av netto)</t>
  </si>
  <si>
    <t xml:space="preserve">Steg 5  Finansiärspool (50% av netto)</t>
  </si>
  <si>
    <t xml:space="preserve">TOTALT DISTRIBUERAT</t>
  </si>
  <si>
    <t xml:space="preserve">* Crew-poolen fördelas sedan per person enligt ägarandel (%) från Equity Dashboard. Länk till per-person-utdrag byggs i portal (steg 2).</t>
  </si>
  <si>
    <t xml:space="preserve">Ägarandelsutdrag — Samägande filmproduktion</t>
  </si>
  <si>
    <t xml:space="preserve">TOTALT DEFERRED (SEK)</t>
  </si>
  <si>
    <t xml:space="preserve">TOTALA POÄNG</t>
  </si>
  <si>
    <t xml:space="preserve">ÄGARANDEL</t>
  </si>
  <si>
    <t xml:space="preserve">POÄNGHISTORIK PER FAS</t>
  </si>
  <si>
    <t xml:space="preserve">Cash Fee/dag</t>
  </si>
  <si>
    <t xml:space="preserve">Markn.pris/dag</t>
  </si>
  <si>
    <t xml:space="preserve">Deferred (SEK)</t>
  </si>
  <si>
    <t xml:space="preserve">Grundp./dag</t>
  </si>
  <si>
    <t xml:space="preserve">Klassmult.</t>
  </si>
  <si>
    <t xml:space="preserve">Poäng</t>
  </si>
  <si>
    <t xml:space="preserve">Andel av egna</t>
  </si>
  <si>
    <t xml:space="preserve">DIN ANDEL I RECOUPMENT-VATTENFALLET</t>
  </si>
  <si>
    <t xml:space="preserve">Din ägarandel (%) multipliceras med Crew-poolen (50% av netto efter distribution, finansiär och deferred fees).</t>
  </si>
  <si>
    <t xml:space="preserve">Scenario B
(Mellant)</t>
  </si>
  <si>
    <t xml:space="preserve">Crew-pool:</t>
  </si>
  <si>
    <t xml:space="preserve">Detta utdrag är konfidentiellt och avsett enbart för mottagaren. Utfärdat av producenten.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</si>
</sst>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"/>
    <numFmt numFmtId="166" formatCode="0.00"/>
    <numFmt numFmtId="167" formatCode="#,##0"/>
    <numFmt numFmtId="168" formatCode="0.00%"/>
    <numFmt numFmtId="169" formatCode="0.0%"/>
    <numFmt numFmtId="170" formatCode="General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A3C5E"/>
      <name val="Arial"/>
      <family val="0"/>
      <charset val="1"/>
    </font>
    <font>
      <i val="true"/>
      <sz val="11"/>
      <color rgb="FF2E6DA4"/>
      <name val="Arial"/>
      <family val="0"/>
      <charset val="1"/>
    </font>
    <font>
      <b val="true"/>
      <sz val="11"/>
      <color rgb="FF1A3C5E"/>
      <name val="Arial"/>
      <family val="0"/>
      <charset val="1"/>
    </font>
    <font>
      <sz val="10"/>
      <color rgb="FF1A3C5E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color rgb="FF1A3C5E"/>
      <name val="Arial"/>
      <family val="0"/>
      <charset val="1"/>
    </font>
    <font>
      <b val="true"/>
      <sz val="14"/>
      <color rgb="FF1A3C5E"/>
      <name val="Arial"/>
      <family val="0"/>
      <charset val="1"/>
    </font>
    <font>
      <sz val="10"/>
      <color rgb="FF0000CC"/>
      <name val="Arial"/>
      <family val="0"/>
      <charset val="1"/>
    </font>
    <font>
      <i val="true"/>
      <sz val="9"/>
      <color rgb="FF99999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sz val="9"/>
      <color rgb="FF999999"/>
      <name val="Arial"/>
      <family val="0"/>
      <charset val="1"/>
    </font>
    <font>
      <b val="true"/>
      <sz val="10"/>
      <color rgb="FF1B5E2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CCCCCC"/>
      <name val="Arial"/>
      <family val="0"/>
      <charset val="1"/>
    </font>
    <font>
      <b val="true"/>
      <sz val="10"/>
      <color rgb="FF333333"/>
      <name val="Arial"/>
      <family val="0"/>
      <charset val="1"/>
    </font>
    <font>
      <b val="true"/>
      <sz val="13"/>
      <color rgb="FF1A3C5E"/>
      <name val="Arial"/>
      <family val="0"/>
      <charset val="1"/>
    </font>
    <font>
      <i val="true"/>
      <sz val="10"/>
      <color rgb="FF2E6DA4"/>
      <name val="Arial"/>
      <family val="0"/>
      <charset val="1"/>
    </font>
    <font>
      <b val="true"/>
      <sz val="18"/>
      <color rgb="FF1A3C5E"/>
      <name val="Arial"/>
      <family val="0"/>
      <charset val="1"/>
    </font>
    <font>
      <b val="true"/>
      <sz val="18"/>
      <color rgb="FF1B5E20"/>
      <name val="Arial"/>
      <family val="0"/>
      <charset val="1"/>
    </font>
    <font>
      <sz val="10"/>
      <color rgb="FF444444"/>
      <name val="Arial"/>
      <family val="0"/>
      <charset val="1"/>
    </font>
    <font>
      <sz val="10"/>
      <color rgb="FF555555"/>
      <name val="Arial"/>
      <family val="0"/>
      <charset val="1"/>
    </font>
    <font>
      <i val="true"/>
      <sz val="9"/>
      <color rgb="FF555555"/>
      <name val="Arial"/>
      <family val="0"/>
      <charset val="1"/>
    </font>
    <font>
      <i val="true"/>
      <sz val="9"/>
      <color rgb="FF888888"/>
      <name val="Arial"/>
      <family val="0"/>
      <charset val="1"/>
    </font>
    <font>
      <b val="true"/>
      <sz val="16"/>
      <color rgb="FF1B5E20"/>
      <name val="Arial"/>
      <family val="0"/>
      <charset val="1"/>
    </font>
    <font>
      <i val="true"/>
      <sz val="8"/>
      <color rgb="FFAAAAAA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EAF2FA"/>
        <bgColor rgb="FFE8F5E9"/>
      </patternFill>
    </fill>
    <fill>
      <patternFill patternType="solid">
        <fgColor rgb="FFFFFDE7"/>
        <bgColor rgb="FFFFFFFF"/>
      </patternFill>
    </fill>
    <fill>
      <patternFill patternType="solid">
        <fgColor rgb="FF2E6DA4"/>
        <bgColor rgb="FF3366FF"/>
      </patternFill>
    </fill>
    <fill>
      <patternFill patternType="solid">
        <fgColor rgb="FFFFFFFF"/>
        <bgColor rgb="FFFFFDE7"/>
      </patternFill>
    </fill>
    <fill>
      <patternFill patternType="solid">
        <fgColor rgb="FF1A3C5E"/>
        <bgColor rgb="FF333333"/>
      </patternFill>
    </fill>
    <fill>
      <patternFill patternType="solid">
        <fgColor rgb="FFE8F5E9"/>
        <bgColor rgb="FFF1F8F1"/>
      </patternFill>
    </fill>
    <fill>
      <patternFill patternType="solid">
        <fgColor rgb="FFF1F8F1"/>
        <bgColor rgb="FFF5F5F5"/>
      </patternFill>
    </fill>
    <fill>
      <patternFill patternType="solid">
        <fgColor rgb="FFC5DCF0"/>
        <bgColor rgb="FFCCCCCC"/>
      </patternFill>
    </fill>
    <fill>
      <patternFill patternType="solid">
        <fgColor rgb="FFF5F5F5"/>
        <bgColor rgb="FFF1F8F1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A3C5E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6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3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8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CCCCCC"/>
      <rgbColor rgb="FF888888"/>
      <rgbColor rgb="FFAAAAAA"/>
      <rgbColor rgb="FF993366"/>
      <rgbColor rgb="FFFFFDE7"/>
      <rgbColor rgb="FFE8F5E9"/>
      <rgbColor rgb="FF660066"/>
      <rgbColor rgb="FFFF8080"/>
      <rgbColor rgb="FF2E6DA4"/>
      <rgbColor rgb="FFC5DC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2FA"/>
      <rgbColor rgb="FFF1F8F1"/>
      <rgbColor rgb="FFF5F5F5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1A3C5E"/>
      <rgbColor rgb="FF339966"/>
      <rgbColor rgb="FF003300"/>
      <rgbColor rgb="FF444444"/>
      <rgbColor rgb="FF993300"/>
      <rgbColor rgb="FF993366"/>
      <rgbColor rgb="FF55555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8"/>
    <col collapsed="false" customWidth="true" hidden="false" outlineLevel="0" max="3" min="3" style="1" width="60"/>
  </cols>
  <sheetData>
    <row r="2" customFormat="false" ht="30" hidden="false" customHeight="true" outlineLevel="0" collapsed="false">
      <c r="B2" s="2" t="s">
        <v>0</v>
      </c>
      <c r="C2" s="2"/>
    </row>
    <row r="3" customFormat="false" ht="21.75" hidden="false" customHeight="true" outlineLevel="0" collapsed="false">
      <c r="B3" s="3" t="s">
        <v>1</v>
      </c>
      <c r="C3" s="3"/>
    </row>
    <row r="4" customFormat="false" ht="15" hidden="false" customHeight="true" outlineLevel="0" collapsed="false">
      <c r="B4" s="4"/>
      <c r="C4" s="4"/>
    </row>
    <row r="5" customFormat="false" ht="7.5" hidden="false" customHeight="true" outlineLevel="0" collapsed="false"/>
    <row r="6" customFormat="false" ht="15" hidden="false" customHeight="true" outlineLevel="0" collapsed="false">
      <c r="B6" s="5" t="s">
        <v>2</v>
      </c>
      <c r="C6" s="5"/>
    </row>
    <row r="7" customFormat="false" ht="18" hidden="false" customHeight="true" outlineLevel="0" collapsed="false">
      <c r="B7" s="6"/>
      <c r="C7" s="7" t="s">
        <v>3</v>
      </c>
    </row>
    <row r="8" customFormat="false" ht="18" hidden="false" customHeight="true" outlineLevel="0" collapsed="false">
      <c r="B8" s="6"/>
      <c r="C8" s="7"/>
    </row>
    <row r="9" customFormat="false" ht="18" hidden="false" customHeight="true" outlineLevel="0" collapsed="false">
      <c r="B9" s="8" t="s">
        <v>4</v>
      </c>
      <c r="C9" s="8"/>
    </row>
    <row r="10" customFormat="false" ht="18" hidden="false" customHeight="true" outlineLevel="0" collapsed="false">
      <c r="B10" s="9" t="s">
        <v>5</v>
      </c>
      <c r="C10" s="7" t="s">
        <v>6</v>
      </c>
    </row>
    <row r="11" customFormat="false" ht="18" hidden="false" customHeight="true" outlineLevel="0" collapsed="false">
      <c r="B11" s="9" t="s">
        <v>7</v>
      </c>
      <c r="C11" s="7" t="s">
        <v>8</v>
      </c>
    </row>
    <row r="12" customFormat="false" ht="18" hidden="false" customHeight="true" outlineLevel="0" collapsed="false">
      <c r="B12" s="9" t="s">
        <v>9</v>
      </c>
      <c r="C12" s="7" t="s">
        <v>10</v>
      </c>
    </row>
    <row r="13" customFormat="false" ht="18" hidden="false" customHeight="true" outlineLevel="0" collapsed="false">
      <c r="B13" s="9" t="s">
        <v>11</v>
      </c>
      <c r="C13" s="7" t="s">
        <v>12</v>
      </c>
    </row>
    <row r="14" customFormat="false" ht="18" hidden="false" customHeight="true" outlineLevel="0" collapsed="false">
      <c r="B14" s="9" t="s">
        <v>13</v>
      </c>
      <c r="C14" s="7" t="s">
        <v>14</v>
      </c>
    </row>
    <row r="15" customFormat="false" ht="18" hidden="false" customHeight="true" outlineLevel="0" collapsed="false">
      <c r="B15" s="10" t="s">
        <v>15</v>
      </c>
      <c r="C15" s="7" t="s">
        <v>16</v>
      </c>
    </row>
    <row r="16" customFormat="false" ht="18" hidden="false" customHeight="true" outlineLevel="0" collapsed="false">
      <c r="B16" s="6"/>
      <c r="C16" s="7"/>
    </row>
    <row r="17" customFormat="false" ht="18" hidden="false" customHeight="true" outlineLevel="0" collapsed="false">
      <c r="B17" s="8" t="s">
        <v>17</v>
      </c>
      <c r="C17" s="8"/>
    </row>
    <row r="18" customFormat="false" ht="18" hidden="false" customHeight="true" outlineLevel="0" collapsed="false">
      <c r="B18" s="9" t="s">
        <v>18</v>
      </c>
      <c r="C18" s="7" t="s">
        <v>19</v>
      </c>
    </row>
    <row r="19" customFormat="false" ht="18" hidden="false" customHeight="true" outlineLevel="0" collapsed="false">
      <c r="B19" s="9" t="s">
        <v>20</v>
      </c>
      <c r="C19" s="7" t="s">
        <v>21</v>
      </c>
    </row>
    <row r="20" customFormat="false" ht="18" hidden="false" customHeight="true" outlineLevel="0" collapsed="false">
      <c r="B20" s="9" t="s">
        <v>22</v>
      </c>
      <c r="C20" s="7" t="s">
        <v>23</v>
      </c>
    </row>
    <row r="21" customFormat="false" ht="18" hidden="false" customHeight="true" outlineLevel="0" collapsed="false">
      <c r="B21" s="6"/>
      <c r="C21" s="7"/>
    </row>
    <row r="22" customFormat="false" ht="18" hidden="false" customHeight="true" outlineLevel="0" collapsed="false">
      <c r="B22" s="8" t="s">
        <v>24</v>
      </c>
      <c r="C22" s="8"/>
    </row>
    <row r="23" customFormat="false" ht="18" hidden="false" customHeight="true" outlineLevel="0" collapsed="false">
      <c r="B23" s="9" t="s">
        <v>25</v>
      </c>
      <c r="C23" s="7" t="s">
        <v>26</v>
      </c>
    </row>
    <row r="24" customFormat="false" ht="18" hidden="false" customHeight="true" outlineLevel="0" collapsed="false">
      <c r="B24" s="9" t="s">
        <v>27</v>
      </c>
      <c r="C24" s="7" t="s">
        <v>28</v>
      </c>
    </row>
    <row r="25" customFormat="false" ht="18" hidden="false" customHeight="true" outlineLevel="0" collapsed="false">
      <c r="B25" s="9" t="s">
        <v>29</v>
      </c>
      <c r="C25" s="7" t="s">
        <v>30</v>
      </c>
    </row>
    <row r="26" customFormat="false" ht="18" hidden="false" customHeight="true" outlineLevel="0" collapsed="false">
      <c r="B26" s="9" t="s">
        <v>31</v>
      </c>
      <c r="C26" s="7" t="s">
        <v>32</v>
      </c>
    </row>
    <row r="27" customFormat="false" ht="18" hidden="false" customHeight="true" outlineLevel="0" collapsed="false">
      <c r="B27" s="9" t="s">
        <v>33</v>
      </c>
      <c r="C27" s="7" t="s">
        <v>34</v>
      </c>
    </row>
    <row r="28" customFormat="false" ht="18" hidden="false" customHeight="true" outlineLevel="0" collapsed="false">
      <c r="B28" s="6"/>
      <c r="C28" s="7"/>
    </row>
    <row r="29" customFormat="false" ht="18" hidden="false" customHeight="true" outlineLevel="0" collapsed="false">
      <c r="B29" s="8" t="s">
        <v>35</v>
      </c>
      <c r="C29" s="8"/>
    </row>
    <row r="30" customFormat="false" ht="18" hidden="false" customHeight="true" outlineLevel="0" collapsed="false">
      <c r="B30" s="9" t="s">
        <v>36</v>
      </c>
      <c r="C30" s="7" t="s">
        <v>37</v>
      </c>
    </row>
    <row r="31" customFormat="false" ht="18" hidden="false" customHeight="true" outlineLevel="0" collapsed="false">
      <c r="B31" s="9" t="s">
        <v>38</v>
      </c>
      <c r="C31" s="7" t="s">
        <v>39</v>
      </c>
    </row>
    <row r="32" customFormat="false" ht="18" hidden="false" customHeight="true" outlineLevel="0" collapsed="false">
      <c r="B32" s="9" t="s">
        <v>40</v>
      </c>
      <c r="C32" s="7" t="s">
        <v>41</v>
      </c>
    </row>
  </sheetData>
  <mergeCells count="7">
    <mergeCell ref="B2:C2"/>
    <mergeCell ref="B3:C3"/>
    <mergeCell ref="B6:C6"/>
    <mergeCell ref="B9:C9"/>
    <mergeCell ref="B17:C17"/>
    <mergeCell ref="B22:C22"/>
    <mergeCell ref="B29:C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0"/>
    <col collapsed="false" customWidth="true" hidden="false" outlineLevel="0" max="4" min="3" style="1" width="22"/>
    <col collapsed="false" customWidth="true" hidden="false" outlineLevel="0" max="7" min="5" style="1" width="16"/>
    <col collapsed="false" customWidth="true" hidden="false" outlineLevel="0" max="8" min="8" style="1" width="22"/>
  </cols>
  <sheetData>
    <row r="2" customFormat="false" ht="27.75" hidden="false" customHeight="true" outlineLevel="0" collapsed="false">
      <c r="B2" s="11" t="s">
        <v>42</v>
      </c>
      <c r="C2" s="11"/>
      <c r="D2" s="11"/>
      <c r="E2" s="11"/>
      <c r="F2" s="11"/>
      <c r="G2" s="11"/>
      <c r="H2" s="11"/>
    </row>
    <row r="4" customFormat="false" ht="19.5" hidden="false" customHeight="true" outlineLevel="0" collapsed="false">
      <c r="B4" s="12" t="s">
        <v>43</v>
      </c>
      <c r="C4" s="12"/>
      <c r="D4" s="12"/>
      <c r="E4" s="12"/>
      <c r="F4" s="12"/>
      <c r="G4" s="12"/>
      <c r="H4" s="12"/>
    </row>
    <row r="5" customFormat="false" ht="19.5" hidden="false" customHeight="true" outlineLevel="0" collapsed="false">
      <c r="B5" s="13" t="s">
        <v>44</v>
      </c>
      <c r="C5" s="14"/>
      <c r="D5" s="15" t="s">
        <v>45</v>
      </c>
    </row>
    <row r="6" customFormat="false" ht="19.5" hidden="false" customHeight="true" outlineLevel="0" collapsed="false">
      <c r="B6" s="13" t="s">
        <v>46</v>
      </c>
      <c r="C6" s="14"/>
      <c r="D6" s="15" t="s">
        <v>47</v>
      </c>
    </row>
    <row r="7" customFormat="false" ht="19.5" hidden="false" customHeight="true" outlineLevel="0" collapsed="false">
      <c r="B7" s="13" t="s">
        <v>48</v>
      </c>
      <c r="C7" s="14"/>
      <c r="D7" s="15" t="s">
        <v>49</v>
      </c>
    </row>
    <row r="8" customFormat="false" ht="19.5" hidden="false" customHeight="true" outlineLevel="0" collapsed="false">
      <c r="B8" s="13" t="s">
        <v>50</v>
      </c>
      <c r="C8" s="14"/>
      <c r="D8" s="15" t="s">
        <v>51</v>
      </c>
    </row>
    <row r="9" customFormat="false" ht="19.5" hidden="false" customHeight="true" outlineLevel="0" collapsed="false">
      <c r="B9" s="13" t="s">
        <v>52</v>
      </c>
      <c r="C9" s="14"/>
      <c r="D9" s="15" t="s">
        <v>51</v>
      </c>
    </row>
    <row r="10" customFormat="false" ht="19.5" hidden="false" customHeight="true" outlineLevel="0" collapsed="false">
      <c r="B10" s="13" t="s">
        <v>53</v>
      </c>
      <c r="C10" s="14"/>
      <c r="D10" s="15" t="s">
        <v>51</v>
      </c>
    </row>
    <row r="11" customFormat="false" ht="19.5" hidden="false" customHeight="true" outlineLevel="0" collapsed="false">
      <c r="B11" s="13" t="s">
        <v>54</v>
      </c>
      <c r="C11" s="14"/>
      <c r="D11" s="15" t="s">
        <v>55</v>
      </c>
    </row>
    <row r="12" customFormat="false" ht="19.5" hidden="false" customHeight="true" outlineLevel="0" collapsed="false">
      <c r="B12" s="13" t="s">
        <v>56</v>
      </c>
      <c r="C12" s="14"/>
      <c r="D12" s="15" t="s">
        <v>55</v>
      </c>
    </row>
    <row r="13" customFormat="false" ht="19.5" hidden="false" customHeight="true" outlineLevel="0" collapsed="false">
      <c r="B13" s="13" t="s">
        <v>57</v>
      </c>
      <c r="C13" s="14"/>
      <c r="D13" s="15" t="s">
        <v>55</v>
      </c>
    </row>
    <row r="15" customFormat="false" ht="9.75" hidden="false" customHeight="true" outlineLevel="0" collapsed="false"/>
    <row r="16" customFormat="false" ht="19.5" hidden="false" customHeight="true" outlineLevel="0" collapsed="false">
      <c r="B16" s="12" t="s">
        <v>35</v>
      </c>
      <c r="C16" s="12"/>
      <c r="D16" s="12"/>
      <c r="E16" s="12"/>
      <c r="F16" s="12"/>
      <c r="G16" s="12"/>
      <c r="H16" s="12"/>
    </row>
    <row r="17" customFormat="false" ht="19.5" hidden="false" customHeight="true" outlineLevel="0" collapsed="false">
      <c r="B17" s="16" t="s">
        <v>36</v>
      </c>
      <c r="C17" s="14"/>
      <c r="D17" s="14"/>
    </row>
    <row r="18" customFormat="false" ht="19.5" hidden="false" customHeight="true" outlineLevel="0" collapsed="false">
      <c r="B18" s="16" t="s">
        <v>38</v>
      </c>
      <c r="C18" s="14"/>
      <c r="D18" s="14"/>
    </row>
    <row r="19" customFormat="false" ht="19.5" hidden="false" customHeight="true" outlineLevel="0" collapsed="false">
      <c r="B19" s="16" t="s">
        <v>40</v>
      </c>
      <c r="C19" s="14"/>
      <c r="D19" s="14"/>
    </row>
    <row r="21" customFormat="false" ht="9.75" hidden="false" customHeight="true" outlineLevel="0" collapsed="false"/>
    <row r="22" customFormat="false" ht="19.5" hidden="false" customHeight="true" outlineLevel="0" collapsed="false">
      <c r="B22" s="12" t="s">
        <v>58</v>
      </c>
      <c r="C22" s="12"/>
      <c r="D22" s="12"/>
      <c r="E22" s="12"/>
      <c r="F22" s="12"/>
      <c r="G22" s="12"/>
      <c r="H22" s="12"/>
    </row>
    <row r="23" customFormat="false" ht="15" hidden="false" customHeight="true" outlineLevel="0" collapsed="false">
      <c r="B23" s="17" t="s">
        <v>59</v>
      </c>
      <c r="C23" s="17" t="s">
        <v>60</v>
      </c>
      <c r="D23" s="17" t="s">
        <v>61</v>
      </c>
      <c r="E23" s="17" t="s">
        <v>62</v>
      </c>
      <c r="F23" s="17" t="s">
        <v>63</v>
      </c>
      <c r="G23" s="17" t="s">
        <v>64</v>
      </c>
      <c r="H23" s="17" t="s">
        <v>65</v>
      </c>
    </row>
    <row r="24" customFormat="false" ht="19.5" hidden="false" customHeight="true" outlineLevel="0" collapsed="false">
      <c r="B24" s="18" t="s">
        <v>66</v>
      </c>
      <c r="C24" s="19" t="s">
        <v>67</v>
      </c>
      <c r="D24" s="14" t="s">
        <v>68</v>
      </c>
      <c r="E24" s="20" t="n">
        <v>15</v>
      </c>
      <c r="F24" s="21" t="n">
        <v>1.5</v>
      </c>
      <c r="G24" s="22" t="n">
        <f aca="false">E24*F24</f>
        <v>22.5</v>
      </c>
      <c r="H24" s="14"/>
    </row>
    <row r="25" customFormat="false" ht="19.5" hidden="false" customHeight="true" outlineLevel="0" collapsed="false">
      <c r="B25" s="23" t="s">
        <v>69</v>
      </c>
      <c r="C25" s="24" t="s">
        <v>70</v>
      </c>
      <c r="D25" s="14" t="s">
        <v>68</v>
      </c>
      <c r="E25" s="20" t="n">
        <v>12</v>
      </c>
      <c r="F25" s="21" t="n">
        <v>1.25</v>
      </c>
      <c r="G25" s="22" t="n">
        <f aca="false">E25*F25</f>
        <v>15</v>
      </c>
      <c r="H25" s="14"/>
    </row>
    <row r="26" customFormat="false" ht="19.5" hidden="false" customHeight="true" outlineLevel="0" collapsed="false">
      <c r="B26" s="18" t="s">
        <v>71</v>
      </c>
      <c r="C26" s="19" t="s">
        <v>72</v>
      </c>
      <c r="D26" s="14" t="s">
        <v>73</v>
      </c>
      <c r="E26" s="20" t="n">
        <v>12</v>
      </c>
      <c r="F26" s="21" t="n">
        <v>1.25</v>
      </c>
      <c r="G26" s="22" t="n">
        <f aca="false">E26*F26</f>
        <v>15</v>
      </c>
      <c r="H26" s="14"/>
    </row>
    <row r="27" customFormat="false" ht="19.5" hidden="false" customHeight="true" outlineLevel="0" collapsed="false">
      <c r="B27" s="23" t="s">
        <v>74</v>
      </c>
      <c r="C27" s="24" t="s">
        <v>75</v>
      </c>
      <c r="D27" s="14" t="s">
        <v>68</v>
      </c>
      <c r="E27" s="20" t="n">
        <v>10</v>
      </c>
      <c r="F27" s="21" t="n">
        <v>1</v>
      </c>
      <c r="G27" s="22" t="n">
        <f aca="false">E27*F27</f>
        <v>10</v>
      </c>
      <c r="H27" s="14"/>
    </row>
    <row r="28" customFormat="false" ht="19.5" hidden="false" customHeight="true" outlineLevel="0" collapsed="false">
      <c r="B28" s="18" t="s">
        <v>76</v>
      </c>
      <c r="C28" s="19" t="s">
        <v>77</v>
      </c>
      <c r="D28" s="14" t="s">
        <v>73</v>
      </c>
      <c r="E28" s="20" t="n">
        <v>10</v>
      </c>
      <c r="F28" s="21" t="n">
        <v>1</v>
      </c>
      <c r="G28" s="22" t="n">
        <f aca="false">E28*F28</f>
        <v>10</v>
      </c>
      <c r="H28" s="14"/>
    </row>
    <row r="29" customFormat="false" ht="19.5" hidden="false" customHeight="true" outlineLevel="0" collapsed="false">
      <c r="B29" s="23" t="s">
        <v>78</v>
      </c>
      <c r="C29" s="24" t="s">
        <v>79</v>
      </c>
      <c r="D29" s="14" t="s">
        <v>68</v>
      </c>
      <c r="E29" s="20" t="n">
        <v>10</v>
      </c>
      <c r="F29" s="21" t="n">
        <v>1</v>
      </c>
      <c r="G29" s="22" t="n">
        <f aca="false">E29*F29</f>
        <v>10</v>
      </c>
      <c r="H29" s="14"/>
    </row>
    <row r="30" customFormat="false" ht="19.5" hidden="false" customHeight="true" outlineLevel="0" collapsed="false">
      <c r="B30" s="18" t="s">
        <v>80</v>
      </c>
      <c r="C30" s="19" t="s">
        <v>81</v>
      </c>
      <c r="D30" s="14" t="s">
        <v>68</v>
      </c>
      <c r="E30" s="20" t="n">
        <v>8</v>
      </c>
      <c r="F30" s="21" t="n">
        <v>1</v>
      </c>
      <c r="G30" s="22" t="n">
        <f aca="false">E30*F30</f>
        <v>8</v>
      </c>
      <c r="H30" s="14"/>
    </row>
    <row r="31" customFormat="false" ht="19.5" hidden="false" customHeight="true" outlineLevel="0" collapsed="false">
      <c r="B31" s="23" t="s">
        <v>82</v>
      </c>
      <c r="C31" s="24" t="s">
        <v>83</v>
      </c>
      <c r="D31" s="14" t="s">
        <v>73</v>
      </c>
      <c r="E31" s="20" t="n">
        <v>8</v>
      </c>
      <c r="F31" s="21" t="n">
        <v>1</v>
      </c>
      <c r="G31" s="22" t="n">
        <f aca="false">E31*F31</f>
        <v>8</v>
      </c>
      <c r="H31" s="14"/>
    </row>
    <row r="33" customFormat="false" ht="9.75" hidden="false" customHeight="true" outlineLevel="0" collapsed="false"/>
    <row r="34" customFormat="false" ht="19.5" hidden="false" customHeight="true" outlineLevel="0" collapsed="false">
      <c r="B34" s="12" t="s">
        <v>84</v>
      </c>
      <c r="C34" s="12"/>
      <c r="D34" s="12"/>
      <c r="E34" s="12"/>
      <c r="F34" s="12"/>
      <c r="G34" s="12"/>
      <c r="H34" s="12"/>
    </row>
    <row r="35" customFormat="false" ht="15" hidden="false" customHeight="true" outlineLevel="0" collapsed="false">
      <c r="B35" s="17" t="s">
        <v>85</v>
      </c>
      <c r="C35" s="17" t="s">
        <v>86</v>
      </c>
      <c r="D35" s="17" t="s">
        <v>87</v>
      </c>
      <c r="E35" s="17" t="s">
        <v>88</v>
      </c>
    </row>
    <row r="36" customFormat="false" ht="19.5" hidden="false" customHeight="true" outlineLevel="0" collapsed="false">
      <c r="B36" s="25" t="s">
        <v>89</v>
      </c>
      <c r="C36" s="19" t="s">
        <v>90</v>
      </c>
      <c r="D36" s="21" t="n">
        <v>1.5</v>
      </c>
      <c r="E36" s="19" t="s">
        <v>91</v>
      </c>
    </row>
    <row r="37" customFormat="false" ht="19.5" hidden="false" customHeight="true" outlineLevel="0" collapsed="false">
      <c r="B37" s="26" t="s">
        <v>92</v>
      </c>
      <c r="C37" s="24" t="s">
        <v>93</v>
      </c>
      <c r="D37" s="21" t="n">
        <v>1.2</v>
      </c>
      <c r="E37" s="24" t="s">
        <v>94</v>
      </c>
    </row>
    <row r="38" customFormat="false" ht="19.5" hidden="false" customHeight="true" outlineLevel="0" collapsed="false">
      <c r="B38" s="25" t="s">
        <v>95</v>
      </c>
      <c r="C38" s="19" t="s">
        <v>96</v>
      </c>
      <c r="D38" s="21" t="n">
        <v>1</v>
      </c>
      <c r="E38" s="19" t="s">
        <v>97</v>
      </c>
    </row>
  </sheetData>
  <mergeCells count="5">
    <mergeCell ref="B2:H2"/>
    <mergeCell ref="B4:H4"/>
    <mergeCell ref="B16:H16"/>
    <mergeCell ref="B22:H22"/>
    <mergeCell ref="B34:H34"/>
  </mergeCells>
  <dataValidations count="8">
    <dataValidation allowBlank="false" errorStyle="stop" operator="between" showDropDown="false" showErrorMessage="false" showInputMessage="false" sqref="D24" type="list">
      <formula1>"JA,NEJ"</formula1>
      <formula2>0</formula2>
    </dataValidation>
    <dataValidation allowBlank="false" errorStyle="stop" operator="between" showDropDown="false" showErrorMessage="false" showInputMessage="false" sqref="D25" type="list">
      <formula1>"JA,NEJ"</formula1>
      <formula2>0</formula2>
    </dataValidation>
    <dataValidation allowBlank="false" errorStyle="stop" operator="between" showDropDown="false" showErrorMessage="false" showInputMessage="false" sqref="D26" type="list">
      <formula1>"JA,NEJ"</formula1>
      <formula2>0</formula2>
    </dataValidation>
    <dataValidation allowBlank="false" errorStyle="stop" operator="between" showDropDown="false" showErrorMessage="false" showInputMessage="false" sqref="D27" type="list">
      <formula1>"JA,NEJ"</formula1>
      <formula2>0</formula2>
    </dataValidation>
    <dataValidation allowBlank="false" errorStyle="stop" operator="between" showDropDown="false" showErrorMessage="false" showInputMessage="false" sqref="D28" type="list">
      <formula1>"JA,NEJ"</formula1>
      <formula2>0</formula2>
    </dataValidation>
    <dataValidation allowBlank="false" errorStyle="stop" operator="between" showDropDown="false" showErrorMessage="false" showInputMessage="false" sqref="D29" type="list">
      <formula1>"JA,NEJ"</formula1>
      <formula2>0</formula2>
    </dataValidation>
    <dataValidation allowBlank="false" errorStyle="stop" operator="between" showDropDown="false" showErrorMessage="false" showInputMessage="false" sqref="D30" type="list">
      <formula1>"JA,NEJ"</formula1>
      <formula2>0</formula2>
    </dataValidation>
    <dataValidation allowBlank="false" errorStyle="stop" operator="between" showDropDown="false" showErrorMessage="false" showInputMessage="false" sqref="D31" type="list">
      <formula1>"JA,NEJ"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"/>
    <col collapsed="false" customWidth="true" hidden="false" outlineLevel="0" max="3" min="3" style="1" width="22"/>
    <col collapsed="false" customWidth="true" hidden="false" outlineLevel="0" max="4" min="4" style="1" width="20"/>
    <col collapsed="false" customWidth="true" hidden="false" outlineLevel="0" max="6" min="5" style="1" width="8"/>
    <col collapsed="false" customWidth="true" hidden="false" outlineLevel="0" max="10" min="7" style="1" width="12"/>
    <col collapsed="false" customWidth="true" hidden="false" outlineLevel="0" max="14" min="11" style="1" width="14"/>
  </cols>
  <sheetData>
    <row r="2" customFormat="false" ht="27.75" hidden="false" customHeight="true" outlineLevel="0" collapsed="false">
      <c r="B2" s="11" t="s">
        <v>98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</row>
    <row r="3" customFormat="false" ht="15" hidden="false" customHeight="true" outlineLevel="0" collapsed="false">
      <c r="B3" s="27" t="s">
        <v>99</v>
      </c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</row>
    <row r="4" customFormat="false" ht="36" hidden="false" customHeight="true" outlineLevel="0" collapsed="false">
      <c r="B4" s="28" t="s">
        <v>100</v>
      </c>
      <c r="C4" s="28" t="s">
        <v>49</v>
      </c>
      <c r="D4" s="28" t="s">
        <v>101</v>
      </c>
      <c r="E4" s="28" t="s">
        <v>85</v>
      </c>
      <c r="F4" s="28" t="s">
        <v>59</v>
      </c>
      <c r="G4" s="28" t="s">
        <v>102</v>
      </c>
      <c r="H4" s="28" t="s">
        <v>103</v>
      </c>
      <c r="I4" s="28" t="s">
        <v>104</v>
      </c>
      <c r="J4" s="28" t="s">
        <v>105</v>
      </c>
      <c r="K4" s="28" t="s">
        <v>106</v>
      </c>
      <c r="L4" s="28" t="s">
        <v>107</v>
      </c>
      <c r="M4" s="28" t="s">
        <v>108</v>
      </c>
      <c r="N4" s="28" t="s">
        <v>109</v>
      </c>
    </row>
    <row r="5" customFormat="false" ht="19.5" hidden="false" customHeight="true" outlineLevel="0" collapsed="false">
      <c r="B5" s="29" t="n">
        <v>1</v>
      </c>
      <c r="C5" s="30" t="s">
        <v>110</v>
      </c>
      <c r="D5" s="30" t="s">
        <v>111</v>
      </c>
      <c r="E5" s="14" t="s">
        <v>89</v>
      </c>
      <c r="F5" s="14" t="s">
        <v>66</v>
      </c>
      <c r="G5" s="31" t="n">
        <v>15</v>
      </c>
      <c r="H5" s="31" t="n">
        <v>0</v>
      </c>
      <c r="I5" s="31" t="n">
        <v>2500</v>
      </c>
      <c r="J5" s="32" t="n">
        <f aca="false">(I5-H5)*G5</f>
        <v>37500</v>
      </c>
      <c r="K5" s="22" t="n">
        <f aca="false">IFERROR(INDEX(Projektinställningar!$G$24:$G$31,MATCH(F5,Projektinställningar!$B$24:$B$31,0)),"?")</f>
        <v>22.5</v>
      </c>
      <c r="L5" s="33" t="n">
        <f aca="false">IFERROR(INDEX(Projektinställningar!$D$36:$D$38,MATCH(E5,Projektinställningar!$B$36:$B$38,0)),"?")</f>
        <v>1.5</v>
      </c>
      <c r="M5" s="34" t="n">
        <f aca="false">IF(AND(ISNUMBER(K5),ISNUMBER(L5)),G5*K5*L5,"")</f>
        <v>506.25</v>
      </c>
      <c r="N5" s="14"/>
    </row>
    <row r="6" customFormat="false" ht="19.5" hidden="false" customHeight="true" outlineLevel="0" collapsed="false">
      <c r="B6" s="35" t="n">
        <v>2</v>
      </c>
      <c r="C6" s="30" t="s">
        <v>110</v>
      </c>
      <c r="D6" s="30" t="s">
        <v>111</v>
      </c>
      <c r="E6" s="14" t="s">
        <v>89</v>
      </c>
      <c r="F6" s="14" t="s">
        <v>74</v>
      </c>
      <c r="G6" s="31" t="n">
        <v>40</v>
      </c>
      <c r="H6" s="31" t="n">
        <v>1200</v>
      </c>
      <c r="I6" s="31" t="n">
        <v>2500</v>
      </c>
      <c r="J6" s="32" t="n">
        <f aca="false">(I6-H6)*G6</f>
        <v>52000</v>
      </c>
      <c r="K6" s="22" t="n">
        <f aca="false">IFERROR(INDEX(Projektinställningar!$G$24:$G$31,MATCH(F6,Projektinställningar!$B$24:$B$31,0)),"?")</f>
        <v>10</v>
      </c>
      <c r="L6" s="33" t="n">
        <f aca="false">IFERROR(INDEX(Projektinställningar!$D$36:$D$38,MATCH(E6,Projektinställningar!$B$36:$B$38,0)),"?")</f>
        <v>1.5</v>
      </c>
      <c r="M6" s="34" t="n">
        <f aca="false">IF(AND(ISNUMBER(K6),ISNUMBER(L6)),G6*K6*L6,"")</f>
        <v>600</v>
      </c>
      <c r="N6" s="14"/>
    </row>
    <row r="7" customFormat="false" ht="19.5" hidden="false" customHeight="true" outlineLevel="0" collapsed="false">
      <c r="B7" s="29" t="n">
        <v>3</v>
      </c>
      <c r="C7" s="30" t="s">
        <v>112</v>
      </c>
      <c r="D7" s="30" t="s">
        <v>113</v>
      </c>
      <c r="E7" s="14" t="s">
        <v>89</v>
      </c>
      <c r="F7" s="14" t="s">
        <v>74</v>
      </c>
      <c r="G7" s="31" t="n">
        <v>30</v>
      </c>
      <c r="H7" s="31" t="n">
        <v>1000</v>
      </c>
      <c r="I7" s="31" t="n">
        <v>2000</v>
      </c>
      <c r="J7" s="32" t="n">
        <f aca="false">(I7-H7)*G7</f>
        <v>30000</v>
      </c>
      <c r="K7" s="22" t="n">
        <f aca="false">IFERROR(INDEX(Projektinställningar!$G$24:$G$31,MATCH(F7,Projektinställningar!$B$24:$B$31,0)),"?")</f>
        <v>10</v>
      </c>
      <c r="L7" s="33" t="n">
        <f aca="false">IFERROR(INDEX(Projektinställningar!$D$36:$D$38,MATCH(E7,Projektinställningar!$B$36:$B$38,0)),"?")</f>
        <v>1.5</v>
      </c>
      <c r="M7" s="34" t="n">
        <f aca="false">IF(AND(ISNUMBER(K7),ISNUMBER(L7)),G7*K7*L7,"")</f>
        <v>450</v>
      </c>
      <c r="N7" s="14"/>
    </row>
    <row r="8" customFormat="false" ht="19.5" hidden="false" customHeight="true" outlineLevel="0" collapsed="false">
      <c r="B8" s="35" t="n">
        <v>4</v>
      </c>
      <c r="C8" s="30" t="s">
        <v>114</v>
      </c>
      <c r="D8" s="30" t="s">
        <v>115</v>
      </c>
      <c r="E8" s="14" t="s">
        <v>92</v>
      </c>
      <c r="F8" s="14" t="s">
        <v>74</v>
      </c>
      <c r="G8" s="31" t="n">
        <v>30</v>
      </c>
      <c r="H8" s="31" t="n">
        <v>900</v>
      </c>
      <c r="I8" s="31" t="n">
        <v>1800</v>
      </c>
      <c r="J8" s="32" t="n">
        <f aca="false">(I8-H8)*G8</f>
        <v>27000</v>
      </c>
      <c r="K8" s="22" t="n">
        <f aca="false">IFERROR(INDEX(Projektinställningar!$G$24:$G$31,MATCH(F8,Projektinställningar!$B$24:$B$31,0)),"?")</f>
        <v>10</v>
      </c>
      <c r="L8" s="33" t="n">
        <f aca="false">IFERROR(INDEX(Projektinställningar!$D$36:$D$38,MATCH(E8,Projektinställningar!$B$36:$B$38,0)),"?")</f>
        <v>1.2</v>
      </c>
      <c r="M8" s="34" t="n">
        <f aca="false">IF(AND(ISNUMBER(K8),ISNUMBER(L8)),G8*K8*L8,"")</f>
        <v>360</v>
      </c>
      <c r="N8" s="14"/>
    </row>
    <row r="9" customFormat="false" ht="19.5" hidden="false" customHeight="true" outlineLevel="0" collapsed="false">
      <c r="B9" s="29" t="n">
        <v>5</v>
      </c>
      <c r="C9" s="30" t="s">
        <v>116</v>
      </c>
      <c r="D9" s="30" t="s">
        <v>117</v>
      </c>
      <c r="E9" s="14" t="s">
        <v>89</v>
      </c>
      <c r="F9" s="14" t="s">
        <v>66</v>
      </c>
      <c r="G9" s="31" t="n">
        <v>20</v>
      </c>
      <c r="H9" s="31" t="n">
        <v>0</v>
      </c>
      <c r="I9" s="31" t="n">
        <v>2500</v>
      </c>
      <c r="J9" s="32" t="n">
        <f aca="false">(I9-H9)*G9</f>
        <v>50000</v>
      </c>
      <c r="K9" s="22" t="n">
        <f aca="false">IFERROR(INDEX(Projektinställningar!$G$24:$G$31,MATCH(F9,Projektinställningar!$B$24:$B$31,0)),"?")</f>
        <v>22.5</v>
      </c>
      <c r="L9" s="33" t="n">
        <f aca="false">IFERROR(INDEX(Projektinställningar!$D$36:$D$38,MATCH(E9,Projektinställningar!$B$36:$B$38,0)),"?")</f>
        <v>1.5</v>
      </c>
      <c r="M9" s="34" t="n">
        <f aca="false">IF(AND(ISNUMBER(K9),ISNUMBER(L9)),G9*K9*L9,"")</f>
        <v>675</v>
      </c>
      <c r="N9" s="14"/>
    </row>
    <row r="10" customFormat="false" ht="19.5" hidden="false" customHeight="true" outlineLevel="0" collapsed="false">
      <c r="B10" s="35" t="n">
        <v>6</v>
      </c>
      <c r="C10" s="30" t="s">
        <v>116</v>
      </c>
      <c r="D10" s="30" t="s">
        <v>117</v>
      </c>
      <c r="E10" s="14" t="s">
        <v>89</v>
      </c>
      <c r="F10" s="14" t="s">
        <v>74</v>
      </c>
      <c r="G10" s="31" t="n">
        <v>40</v>
      </c>
      <c r="H10" s="31" t="n">
        <v>1200</v>
      </c>
      <c r="I10" s="31" t="n">
        <v>2500</v>
      </c>
      <c r="J10" s="32" t="n">
        <f aca="false">(I10-H10)*G10</f>
        <v>52000</v>
      </c>
      <c r="K10" s="22" t="n">
        <f aca="false">IFERROR(INDEX(Projektinställningar!$G$24:$G$31,MATCH(F10,Projektinställningar!$B$24:$B$31,0)),"?")</f>
        <v>10</v>
      </c>
      <c r="L10" s="33" t="n">
        <f aca="false">IFERROR(INDEX(Projektinställningar!$D$36:$D$38,MATCH(E10,Projektinställningar!$B$36:$B$38,0)),"?")</f>
        <v>1.5</v>
      </c>
      <c r="M10" s="34" t="n">
        <f aca="false">IF(AND(ISNUMBER(K10),ISNUMBER(L10)),G10*K10*L10,"")</f>
        <v>600</v>
      </c>
      <c r="N10" s="14"/>
    </row>
    <row r="11" customFormat="false" ht="19.5" hidden="false" customHeight="true" outlineLevel="0" collapsed="false">
      <c r="B11" s="29" t="n">
        <v>7</v>
      </c>
      <c r="C11" s="30" t="s">
        <v>118</v>
      </c>
      <c r="D11" s="30" t="s">
        <v>119</v>
      </c>
      <c r="E11" s="14" t="s">
        <v>89</v>
      </c>
      <c r="F11" s="14" t="s">
        <v>74</v>
      </c>
      <c r="G11" s="31" t="n">
        <v>25</v>
      </c>
      <c r="H11" s="31" t="n">
        <v>1000</v>
      </c>
      <c r="I11" s="31" t="n">
        <v>2000</v>
      </c>
      <c r="J11" s="32" t="n">
        <f aca="false">(I11-H11)*G11</f>
        <v>25000</v>
      </c>
      <c r="K11" s="22" t="n">
        <f aca="false">IFERROR(INDEX(Projektinställningar!$G$24:$G$31,MATCH(F11,Projektinställningar!$B$24:$B$31,0)),"?")</f>
        <v>10</v>
      </c>
      <c r="L11" s="33" t="n">
        <f aca="false">IFERROR(INDEX(Projektinställningar!$D$36:$D$38,MATCH(E11,Projektinställningar!$B$36:$B$38,0)),"?")</f>
        <v>1.5</v>
      </c>
      <c r="M11" s="34" t="n">
        <f aca="false">IF(AND(ISNUMBER(K11),ISNUMBER(L11)),G11*K11*L11,"")</f>
        <v>375</v>
      </c>
      <c r="N11" s="14"/>
    </row>
    <row r="12" customFormat="false" ht="19.5" hidden="false" customHeight="true" outlineLevel="0" collapsed="false">
      <c r="B12" s="35" t="n">
        <v>8</v>
      </c>
      <c r="C12" s="30" t="s">
        <v>120</v>
      </c>
      <c r="D12" s="30" t="s">
        <v>121</v>
      </c>
      <c r="E12" s="14" t="s">
        <v>89</v>
      </c>
      <c r="F12" s="14" t="s">
        <v>78</v>
      </c>
      <c r="G12" s="31" t="n">
        <v>30</v>
      </c>
      <c r="H12" s="31" t="n">
        <v>900</v>
      </c>
      <c r="I12" s="31" t="n">
        <v>2000</v>
      </c>
      <c r="J12" s="32" t="n">
        <f aca="false">(I12-H12)*G12</f>
        <v>33000</v>
      </c>
      <c r="K12" s="22" t="n">
        <f aca="false">IFERROR(INDEX(Projektinställningar!$G$24:$G$31,MATCH(F12,Projektinställningar!$B$24:$B$31,0)),"?")</f>
        <v>10</v>
      </c>
      <c r="L12" s="33" t="n">
        <f aca="false">IFERROR(INDEX(Projektinställningar!$D$36:$D$38,MATCH(E12,Projektinställningar!$B$36:$B$38,0)),"?")</f>
        <v>1.5</v>
      </c>
      <c r="M12" s="34" t="n">
        <f aca="false">IF(AND(ISNUMBER(K12),ISNUMBER(L12)),G12*K12*L12,"")</f>
        <v>450</v>
      </c>
      <c r="N12" s="14"/>
    </row>
    <row r="13" customFormat="false" ht="19.5" hidden="false" customHeight="true" outlineLevel="0" collapsed="false">
      <c r="B13" s="29" t="n">
        <v>9</v>
      </c>
      <c r="C13" s="30" t="s">
        <v>122</v>
      </c>
      <c r="D13" s="30" t="s">
        <v>123</v>
      </c>
      <c r="E13" s="14" t="s">
        <v>92</v>
      </c>
      <c r="F13" s="14" t="s">
        <v>74</v>
      </c>
      <c r="G13" s="31" t="n">
        <v>20</v>
      </c>
      <c r="H13" s="31" t="n">
        <v>800</v>
      </c>
      <c r="I13" s="31" t="n">
        <v>1600</v>
      </c>
      <c r="J13" s="32" t="n">
        <f aca="false">(I13-H13)*G13</f>
        <v>16000</v>
      </c>
      <c r="K13" s="22" t="n">
        <f aca="false">IFERROR(INDEX(Projektinställningar!$G$24:$G$31,MATCH(F13,Projektinställningar!$B$24:$B$31,0)),"?")</f>
        <v>10</v>
      </c>
      <c r="L13" s="33" t="n">
        <f aca="false">IFERROR(INDEX(Projektinställningar!$D$36:$D$38,MATCH(E13,Projektinställningar!$B$36:$B$38,0)),"?")</f>
        <v>1.2</v>
      </c>
      <c r="M13" s="34" t="n">
        <f aca="false">IF(AND(ISNUMBER(K13),ISNUMBER(L13)),G13*K13*L13,"")</f>
        <v>240</v>
      </c>
      <c r="N13" s="14"/>
    </row>
    <row r="14" customFormat="false" ht="19.5" hidden="false" customHeight="true" outlineLevel="0" collapsed="false">
      <c r="B14" s="35" t="n">
        <v>10</v>
      </c>
      <c r="C14" s="30" t="s">
        <v>124</v>
      </c>
      <c r="D14" s="30" t="s">
        <v>125</v>
      </c>
      <c r="E14" s="14" t="s">
        <v>95</v>
      </c>
      <c r="F14" s="14" t="s">
        <v>74</v>
      </c>
      <c r="G14" s="31" t="n">
        <v>25</v>
      </c>
      <c r="H14" s="31" t="n">
        <v>600</v>
      </c>
      <c r="I14" s="31" t="n">
        <v>600</v>
      </c>
      <c r="J14" s="32" t="n">
        <f aca="false">(I14-H14)*G14</f>
        <v>0</v>
      </c>
      <c r="K14" s="22" t="n">
        <f aca="false">IFERROR(INDEX(Projektinställningar!$G$24:$G$31,MATCH(F14,Projektinställningar!$B$24:$B$31,0)),"?")</f>
        <v>10</v>
      </c>
      <c r="L14" s="33" t="n">
        <f aca="false">IFERROR(INDEX(Projektinställningar!$D$36:$D$38,MATCH(E14,Projektinställningar!$B$36:$B$38,0)),"?")</f>
        <v>1</v>
      </c>
      <c r="M14" s="34" t="n">
        <f aca="false">IF(AND(ISNUMBER(K14),ISNUMBER(L14)),G14*K14*L14,"")</f>
        <v>250</v>
      </c>
      <c r="N14" s="14"/>
    </row>
    <row r="15" customFormat="false" ht="21.75" hidden="false" customHeight="true" outlineLevel="0" collapsed="false">
      <c r="B15" s="36" t="s">
        <v>126</v>
      </c>
      <c r="C15" s="36"/>
      <c r="D15" s="36"/>
      <c r="E15" s="36"/>
      <c r="F15" s="36"/>
      <c r="G15" s="36"/>
      <c r="H15" s="36"/>
      <c r="I15" s="36"/>
      <c r="J15" s="37" t="n">
        <f aca="false">SUM(J5:J14)</f>
        <v>322500</v>
      </c>
      <c r="M15" s="37" t="n">
        <f aca="false">SUM(M5:M14)</f>
        <v>4506.25</v>
      </c>
    </row>
    <row r="16" customFormat="false" ht="19.5" hidden="false" customHeight="true" outlineLevel="0" collapsed="false">
      <c r="B16" s="38" t="n">
        <v>11</v>
      </c>
      <c r="C16" s="14"/>
      <c r="D16" s="14"/>
      <c r="E16" s="14"/>
      <c r="F16" s="14"/>
      <c r="G16" s="14"/>
      <c r="H16" s="14"/>
      <c r="I16" s="14"/>
      <c r="J16" s="22" t="n">
        <f aca="false">(I16-H16)*G16</f>
        <v>0</v>
      </c>
      <c r="K16" s="22" t="str">
        <f aca="false">IFERROR(INDEX(Projektinställningar!$G$24:$G$31,MATCH(F16,Projektinställningar!$B$24:$B$31,0)),"")</f>
        <v/>
      </c>
      <c r="L16" s="33" t="str">
        <f aca="false">IFERROR(INDEX(Projektinställningar!$D$36:$D$38,MATCH(E16,Projektinställningar!$B$36:$B$38,0)),"")</f>
        <v/>
      </c>
      <c r="M16" s="34" t="str">
        <f aca="false">IF(AND(ISNUMBER(K16),ISNUMBER(L16)),G16*K16*L16,"")</f>
        <v/>
      </c>
      <c r="N16" s="14"/>
    </row>
    <row r="17" customFormat="false" ht="19.5" hidden="false" customHeight="true" outlineLevel="0" collapsed="false">
      <c r="B17" s="39" t="n">
        <v>12</v>
      </c>
      <c r="C17" s="14"/>
      <c r="D17" s="14"/>
      <c r="E17" s="14"/>
      <c r="F17" s="14"/>
      <c r="G17" s="14"/>
      <c r="H17" s="14"/>
      <c r="I17" s="14"/>
      <c r="J17" s="22" t="n">
        <f aca="false">(I17-H17)*G17</f>
        <v>0</v>
      </c>
      <c r="K17" s="22" t="str">
        <f aca="false">IFERROR(INDEX(Projektinställningar!$G$24:$G$31,MATCH(F17,Projektinställningar!$B$24:$B$31,0)),"")</f>
        <v/>
      </c>
      <c r="L17" s="33" t="str">
        <f aca="false">IFERROR(INDEX(Projektinställningar!$D$36:$D$38,MATCH(E17,Projektinställningar!$B$36:$B$38,0)),"")</f>
        <v/>
      </c>
      <c r="M17" s="34" t="str">
        <f aca="false">IF(AND(ISNUMBER(K17),ISNUMBER(L17)),G17*K17*L17,"")</f>
        <v/>
      </c>
      <c r="N17" s="14"/>
    </row>
    <row r="18" customFormat="false" ht="19.5" hidden="false" customHeight="true" outlineLevel="0" collapsed="false">
      <c r="B18" s="38" t="n">
        <v>13</v>
      </c>
      <c r="C18" s="14"/>
      <c r="D18" s="14"/>
      <c r="E18" s="14"/>
      <c r="F18" s="14"/>
      <c r="G18" s="14"/>
      <c r="H18" s="14"/>
      <c r="I18" s="14"/>
      <c r="J18" s="22" t="n">
        <f aca="false">(I18-H18)*G18</f>
        <v>0</v>
      </c>
      <c r="K18" s="22" t="str">
        <f aca="false">IFERROR(INDEX(Projektinställningar!$G$24:$G$31,MATCH(F18,Projektinställningar!$B$24:$B$31,0)),"")</f>
        <v/>
      </c>
      <c r="L18" s="33" t="str">
        <f aca="false">IFERROR(INDEX(Projektinställningar!$D$36:$D$38,MATCH(E18,Projektinställningar!$B$36:$B$38,0)),"")</f>
        <v/>
      </c>
      <c r="M18" s="34" t="str">
        <f aca="false">IF(AND(ISNUMBER(K18),ISNUMBER(L18)),G18*K18*L18,"")</f>
        <v/>
      </c>
      <c r="N18" s="14"/>
    </row>
    <row r="19" customFormat="false" ht="19.5" hidden="false" customHeight="true" outlineLevel="0" collapsed="false">
      <c r="B19" s="39" t="n">
        <v>14</v>
      </c>
      <c r="C19" s="14"/>
      <c r="D19" s="14"/>
      <c r="E19" s="14"/>
      <c r="F19" s="14"/>
      <c r="G19" s="14"/>
      <c r="H19" s="14"/>
      <c r="I19" s="14"/>
      <c r="J19" s="22" t="n">
        <f aca="false">(I19-H19)*G19</f>
        <v>0</v>
      </c>
      <c r="K19" s="22" t="str">
        <f aca="false">IFERROR(INDEX(Projektinställningar!$G$24:$G$31,MATCH(F19,Projektinställningar!$B$24:$B$31,0)),"")</f>
        <v/>
      </c>
      <c r="L19" s="33" t="str">
        <f aca="false">IFERROR(INDEX(Projektinställningar!$D$36:$D$38,MATCH(E19,Projektinställningar!$B$36:$B$38,0)),"")</f>
        <v/>
      </c>
      <c r="M19" s="34" t="str">
        <f aca="false">IF(AND(ISNUMBER(K19),ISNUMBER(L19)),G19*K19*L19,"")</f>
        <v/>
      </c>
      <c r="N19" s="14"/>
    </row>
    <row r="20" customFormat="false" ht="19.5" hidden="false" customHeight="true" outlineLevel="0" collapsed="false">
      <c r="B20" s="38" t="n">
        <v>15</v>
      </c>
      <c r="C20" s="14"/>
      <c r="D20" s="14"/>
      <c r="E20" s="14"/>
      <c r="F20" s="14"/>
      <c r="G20" s="14"/>
      <c r="H20" s="14"/>
      <c r="I20" s="14"/>
      <c r="J20" s="22" t="n">
        <f aca="false">(I20-H20)*G20</f>
        <v>0</v>
      </c>
      <c r="K20" s="22" t="str">
        <f aca="false">IFERROR(INDEX(Projektinställningar!$G$24:$G$31,MATCH(F20,Projektinställningar!$B$24:$B$31,0)),"")</f>
        <v/>
      </c>
      <c r="L20" s="33" t="str">
        <f aca="false">IFERROR(INDEX(Projektinställningar!$D$36:$D$38,MATCH(E20,Projektinställningar!$B$36:$B$38,0)),"")</f>
        <v/>
      </c>
      <c r="M20" s="34" t="str">
        <f aca="false">IF(AND(ISNUMBER(K20),ISNUMBER(L20)),G20*K20*L20,"")</f>
        <v/>
      </c>
      <c r="N20" s="14"/>
    </row>
    <row r="21" customFormat="false" ht="19.5" hidden="false" customHeight="true" outlineLevel="0" collapsed="false">
      <c r="B21" s="39" t="n">
        <v>16</v>
      </c>
      <c r="C21" s="14"/>
      <c r="D21" s="14"/>
      <c r="E21" s="14"/>
      <c r="F21" s="14"/>
      <c r="G21" s="14"/>
      <c r="H21" s="14"/>
      <c r="I21" s="14"/>
      <c r="J21" s="22" t="n">
        <f aca="false">(I21-H21)*G21</f>
        <v>0</v>
      </c>
      <c r="K21" s="22" t="str">
        <f aca="false">IFERROR(INDEX(Projektinställningar!$G$24:$G$31,MATCH(F21,Projektinställningar!$B$24:$B$31,0)),"")</f>
        <v/>
      </c>
      <c r="L21" s="33" t="str">
        <f aca="false">IFERROR(INDEX(Projektinställningar!$D$36:$D$38,MATCH(E21,Projektinställningar!$B$36:$B$38,0)),"")</f>
        <v/>
      </c>
      <c r="M21" s="34" t="str">
        <f aca="false">IF(AND(ISNUMBER(K21),ISNUMBER(L21)),G21*K21*L21,"")</f>
        <v/>
      </c>
      <c r="N21" s="14"/>
    </row>
    <row r="22" customFormat="false" ht="19.5" hidden="false" customHeight="true" outlineLevel="0" collapsed="false">
      <c r="B22" s="38" t="n">
        <v>17</v>
      </c>
      <c r="C22" s="14"/>
      <c r="D22" s="14"/>
      <c r="E22" s="14"/>
      <c r="F22" s="14"/>
      <c r="G22" s="14"/>
      <c r="H22" s="14"/>
      <c r="I22" s="14"/>
      <c r="J22" s="22" t="n">
        <f aca="false">(I22-H22)*G22</f>
        <v>0</v>
      </c>
      <c r="K22" s="22" t="str">
        <f aca="false">IFERROR(INDEX(Projektinställningar!$G$24:$G$31,MATCH(F22,Projektinställningar!$B$24:$B$31,0)),"")</f>
        <v/>
      </c>
      <c r="L22" s="33" t="str">
        <f aca="false">IFERROR(INDEX(Projektinställningar!$D$36:$D$38,MATCH(E22,Projektinställningar!$B$36:$B$38,0)),"")</f>
        <v/>
      </c>
      <c r="M22" s="34" t="str">
        <f aca="false">IF(AND(ISNUMBER(K22),ISNUMBER(L22)),G22*K22*L22,"")</f>
        <v/>
      </c>
      <c r="N22" s="14"/>
    </row>
    <row r="23" customFormat="false" ht="19.5" hidden="false" customHeight="true" outlineLevel="0" collapsed="false">
      <c r="B23" s="39" t="n">
        <v>18</v>
      </c>
      <c r="C23" s="14"/>
      <c r="D23" s="14"/>
      <c r="E23" s="14"/>
      <c r="F23" s="14"/>
      <c r="G23" s="14"/>
      <c r="H23" s="14"/>
      <c r="I23" s="14"/>
      <c r="J23" s="22" t="n">
        <f aca="false">(I23-H23)*G23</f>
        <v>0</v>
      </c>
      <c r="K23" s="22" t="str">
        <f aca="false">IFERROR(INDEX(Projektinställningar!$G$24:$G$31,MATCH(F23,Projektinställningar!$B$24:$B$31,0)),"")</f>
        <v/>
      </c>
      <c r="L23" s="33" t="str">
        <f aca="false">IFERROR(INDEX(Projektinställningar!$D$36:$D$38,MATCH(E23,Projektinställningar!$B$36:$B$38,0)),"")</f>
        <v/>
      </c>
      <c r="M23" s="34" t="str">
        <f aca="false">IF(AND(ISNUMBER(K23),ISNUMBER(L23)),G23*K23*L23,"")</f>
        <v/>
      </c>
      <c r="N23" s="14"/>
    </row>
    <row r="24" customFormat="false" ht="19.5" hidden="false" customHeight="true" outlineLevel="0" collapsed="false">
      <c r="B24" s="38" t="n">
        <v>19</v>
      </c>
      <c r="C24" s="14"/>
      <c r="D24" s="14"/>
      <c r="E24" s="14"/>
      <c r="F24" s="14"/>
      <c r="G24" s="14"/>
      <c r="H24" s="14"/>
      <c r="I24" s="14"/>
      <c r="J24" s="22" t="n">
        <f aca="false">(I24-H24)*G24</f>
        <v>0</v>
      </c>
      <c r="K24" s="22" t="str">
        <f aca="false">IFERROR(INDEX(Projektinställningar!$G$24:$G$31,MATCH(F24,Projektinställningar!$B$24:$B$31,0)),"")</f>
        <v/>
      </c>
      <c r="L24" s="33" t="str">
        <f aca="false">IFERROR(INDEX(Projektinställningar!$D$36:$D$38,MATCH(E24,Projektinställningar!$B$36:$B$38,0)),"")</f>
        <v/>
      </c>
      <c r="M24" s="34" t="str">
        <f aca="false">IF(AND(ISNUMBER(K24),ISNUMBER(L24)),G24*K24*L24,"")</f>
        <v/>
      </c>
      <c r="N24" s="14"/>
    </row>
    <row r="25" customFormat="false" ht="19.5" hidden="false" customHeight="true" outlineLevel="0" collapsed="false">
      <c r="B25" s="39" t="n">
        <v>20</v>
      </c>
      <c r="C25" s="14"/>
      <c r="D25" s="14"/>
      <c r="E25" s="14"/>
      <c r="F25" s="14"/>
      <c r="G25" s="14"/>
      <c r="H25" s="14"/>
      <c r="I25" s="14"/>
      <c r="J25" s="22" t="n">
        <f aca="false">(I25-H25)*G25</f>
        <v>0</v>
      </c>
      <c r="K25" s="22" t="str">
        <f aca="false">IFERROR(INDEX(Projektinställningar!$G$24:$G$31,MATCH(F25,Projektinställningar!$B$24:$B$31,0)),"")</f>
        <v/>
      </c>
      <c r="L25" s="33" t="str">
        <f aca="false">IFERROR(INDEX(Projektinställningar!$D$36:$D$38,MATCH(E25,Projektinställningar!$B$36:$B$38,0)),"")</f>
        <v/>
      </c>
      <c r="M25" s="34" t="str">
        <f aca="false">IF(AND(ISNUMBER(K25),ISNUMBER(L25)),G25*K25*L25,"")</f>
        <v/>
      </c>
      <c r="N25" s="14"/>
    </row>
    <row r="26" customFormat="false" ht="19.5" hidden="false" customHeight="true" outlineLevel="0" collapsed="false">
      <c r="B26" s="38" t="n">
        <v>21</v>
      </c>
      <c r="C26" s="14"/>
      <c r="D26" s="14"/>
      <c r="E26" s="14"/>
      <c r="F26" s="14"/>
      <c r="G26" s="14"/>
      <c r="H26" s="14"/>
      <c r="I26" s="14"/>
      <c r="J26" s="22" t="n">
        <f aca="false">(I26-H26)*G26</f>
        <v>0</v>
      </c>
      <c r="K26" s="22" t="str">
        <f aca="false">IFERROR(INDEX(Projektinställningar!$G$24:$G$31,MATCH(F26,Projektinställningar!$B$24:$B$31,0)),"")</f>
        <v/>
      </c>
      <c r="L26" s="33" t="str">
        <f aca="false">IFERROR(INDEX(Projektinställningar!$D$36:$D$38,MATCH(E26,Projektinställningar!$B$36:$B$38,0)),"")</f>
        <v/>
      </c>
      <c r="M26" s="34" t="str">
        <f aca="false">IF(AND(ISNUMBER(K26),ISNUMBER(L26)),G26*K26*L26,"")</f>
        <v/>
      </c>
      <c r="N26" s="14"/>
    </row>
    <row r="27" customFormat="false" ht="19.5" hidden="false" customHeight="true" outlineLevel="0" collapsed="false">
      <c r="B27" s="39" t="n">
        <v>22</v>
      </c>
      <c r="C27" s="14"/>
      <c r="D27" s="14"/>
      <c r="E27" s="14"/>
      <c r="F27" s="14"/>
      <c r="G27" s="14"/>
      <c r="H27" s="14"/>
      <c r="I27" s="14"/>
      <c r="J27" s="22" t="n">
        <f aca="false">(I27-H27)*G27</f>
        <v>0</v>
      </c>
      <c r="K27" s="22" t="str">
        <f aca="false">IFERROR(INDEX(Projektinställningar!$G$24:$G$31,MATCH(F27,Projektinställningar!$B$24:$B$31,0)),"")</f>
        <v/>
      </c>
      <c r="L27" s="33" t="str">
        <f aca="false">IFERROR(INDEX(Projektinställningar!$D$36:$D$38,MATCH(E27,Projektinställningar!$B$36:$B$38,0)),"")</f>
        <v/>
      </c>
      <c r="M27" s="34" t="str">
        <f aca="false">IF(AND(ISNUMBER(K27),ISNUMBER(L27)),G27*K27*L27,"")</f>
        <v/>
      </c>
      <c r="N27" s="14"/>
    </row>
    <row r="28" customFormat="false" ht="19.5" hidden="false" customHeight="true" outlineLevel="0" collapsed="false">
      <c r="B28" s="38" t="n">
        <v>23</v>
      </c>
      <c r="C28" s="14"/>
      <c r="D28" s="14"/>
      <c r="E28" s="14"/>
      <c r="F28" s="14"/>
      <c r="G28" s="14"/>
      <c r="H28" s="14"/>
      <c r="I28" s="14"/>
      <c r="J28" s="22" t="n">
        <f aca="false">(I28-H28)*G28</f>
        <v>0</v>
      </c>
      <c r="K28" s="22" t="str">
        <f aca="false">IFERROR(INDEX(Projektinställningar!$G$24:$G$31,MATCH(F28,Projektinställningar!$B$24:$B$31,0)),"")</f>
        <v/>
      </c>
      <c r="L28" s="33" t="str">
        <f aca="false">IFERROR(INDEX(Projektinställningar!$D$36:$D$38,MATCH(E28,Projektinställningar!$B$36:$B$38,0)),"")</f>
        <v/>
      </c>
      <c r="M28" s="34" t="str">
        <f aca="false">IF(AND(ISNUMBER(K28),ISNUMBER(L28)),G28*K28*L28,"")</f>
        <v/>
      </c>
      <c r="N28" s="14"/>
    </row>
    <row r="29" customFormat="false" ht="19.5" hidden="false" customHeight="true" outlineLevel="0" collapsed="false">
      <c r="B29" s="39" t="n">
        <v>24</v>
      </c>
      <c r="C29" s="14"/>
      <c r="D29" s="14"/>
      <c r="E29" s="14"/>
      <c r="F29" s="14"/>
      <c r="G29" s="14"/>
      <c r="H29" s="14"/>
      <c r="I29" s="14"/>
      <c r="J29" s="22" t="n">
        <f aca="false">(I29-H29)*G29</f>
        <v>0</v>
      </c>
      <c r="K29" s="22" t="str">
        <f aca="false">IFERROR(INDEX(Projektinställningar!$G$24:$G$31,MATCH(F29,Projektinställningar!$B$24:$B$31,0)),"")</f>
        <v/>
      </c>
      <c r="L29" s="33" t="str">
        <f aca="false">IFERROR(INDEX(Projektinställningar!$D$36:$D$38,MATCH(E29,Projektinställningar!$B$36:$B$38,0)),"")</f>
        <v/>
      </c>
      <c r="M29" s="34" t="str">
        <f aca="false">IF(AND(ISNUMBER(K29),ISNUMBER(L29)),G29*K29*L29,"")</f>
        <v/>
      </c>
      <c r="N29" s="14"/>
    </row>
    <row r="30" customFormat="false" ht="19.5" hidden="false" customHeight="true" outlineLevel="0" collapsed="false">
      <c r="B30" s="38" t="n">
        <v>25</v>
      </c>
      <c r="C30" s="14"/>
      <c r="D30" s="14"/>
      <c r="E30" s="14"/>
      <c r="F30" s="14"/>
      <c r="G30" s="14"/>
      <c r="H30" s="14"/>
      <c r="I30" s="14"/>
      <c r="J30" s="22" t="n">
        <f aca="false">(I30-H30)*G30</f>
        <v>0</v>
      </c>
      <c r="K30" s="22" t="str">
        <f aca="false">IFERROR(INDEX(Projektinställningar!$G$24:$G$31,MATCH(F30,Projektinställningar!$B$24:$B$31,0)),"")</f>
        <v/>
      </c>
      <c r="L30" s="33" t="str">
        <f aca="false">IFERROR(INDEX(Projektinställningar!$D$36:$D$38,MATCH(E30,Projektinställningar!$B$36:$B$38,0)),"")</f>
        <v/>
      </c>
      <c r="M30" s="34" t="str">
        <f aca="false">IF(AND(ISNUMBER(K30),ISNUMBER(L30)),G30*K30*L30,"")</f>
        <v/>
      </c>
      <c r="N30" s="14"/>
    </row>
  </sheetData>
  <mergeCells count="3">
    <mergeCell ref="B2:N2"/>
    <mergeCell ref="B3:N3"/>
    <mergeCell ref="B15:I15"/>
  </mergeCells>
  <dataValidations count="20">
    <dataValidation allowBlank="false" errorStyle="stop" operator="between" showDropDown="false" showErrorMessage="false" showInputMessage="false" sqref="E5" type="list">
      <formula1>"A,B,C"</formula1>
      <formula2>0</formula2>
    </dataValidation>
    <dataValidation allowBlank="false" errorStyle="stop" operator="between" showDropDown="false" showErrorMessage="false" showInputMessage="false" sqref="F5" type="list">
      <formula1>"F1,F2,F3,F4,F5,F6,F7,F8"</formula1>
      <formula2>0</formula2>
    </dataValidation>
    <dataValidation allowBlank="false" errorStyle="stop" operator="between" showDropDown="false" showErrorMessage="false" showInputMessage="false" sqref="E6" type="list">
      <formula1>"A,B,C"</formula1>
      <formula2>0</formula2>
    </dataValidation>
    <dataValidation allowBlank="false" errorStyle="stop" operator="between" showDropDown="false" showErrorMessage="false" showInputMessage="false" sqref="F6" type="list">
      <formula1>"F1,F2,F3,F4,F5,F6,F7,F8"</formula1>
      <formula2>0</formula2>
    </dataValidation>
    <dataValidation allowBlank="false" errorStyle="stop" operator="between" showDropDown="false" showErrorMessage="false" showInputMessage="false" sqref="E7" type="list">
      <formula1>"A,B,C"</formula1>
      <formula2>0</formula2>
    </dataValidation>
    <dataValidation allowBlank="false" errorStyle="stop" operator="between" showDropDown="false" showErrorMessage="false" showInputMessage="false" sqref="F7" type="list">
      <formula1>"F1,F2,F3,F4,F5,F6,F7,F8"</formula1>
      <formula2>0</formula2>
    </dataValidation>
    <dataValidation allowBlank="false" errorStyle="stop" operator="between" showDropDown="false" showErrorMessage="false" showInputMessage="false" sqref="E8" type="list">
      <formula1>"A,B,C"</formula1>
      <formula2>0</formula2>
    </dataValidation>
    <dataValidation allowBlank="false" errorStyle="stop" operator="between" showDropDown="false" showErrorMessage="false" showInputMessage="false" sqref="F8" type="list">
      <formula1>"F1,F2,F3,F4,F5,F6,F7,F8"</formula1>
      <formula2>0</formula2>
    </dataValidation>
    <dataValidation allowBlank="false" errorStyle="stop" operator="between" showDropDown="false" showErrorMessage="false" showInputMessage="false" sqref="E9" type="list">
      <formula1>"A,B,C"</formula1>
      <formula2>0</formula2>
    </dataValidation>
    <dataValidation allowBlank="false" errorStyle="stop" operator="between" showDropDown="false" showErrorMessage="false" showInputMessage="false" sqref="F9" type="list">
      <formula1>"F1,F2,F3,F4,F5,F6,F7,F8"</formula1>
      <formula2>0</formula2>
    </dataValidation>
    <dataValidation allowBlank="false" errorStyle="stop" operator="between" showDropDown="false" showErrorMessage="false" showInputMessage="false" sqref="E10" type="list">
      <formula1>"A,B,C"</formula1>
      <formula2>0</formula2>
    </dataValidation>
    <dataValidation allowBlank="false" errorStyle="stop" operator="between" showDropDown="false" showErrorMessage="false" showInputMessage="false" sqref="F10" type="list">
      <formula1>"F1,F2,F3,F4,F5,F6,F7,F8"</formula1>
      <formula2>0</formula2>
    </dataValidation>
    <dataValidation allowBlank="false" errorStyle="stop" operator="between" showDropDown="false" showErrorMessage="false" showInputMessage="false" sqref="E11" type="list">
      <formula1>"A,B,C"</formula1>
      <formula2>0</formula2>
    </dataValidation>
    <dataValidation allowBlank="false" errorStyle="stop" operator="between" showDropDown="false" showErrorMessage="false" showInputMessage="false" sqref="F11" type="list">
      <formula1>"F1,F2,F3,F4,F5,F6,F7,F8"</formula1>
      <formula2>0</formula2>
    </dataValidation>
    <dataValidation allowBlank="false" errorStyle="stop" operator="between" showDropDown="false" showErrorMessage="false" showInputMessage="false" sqref="E12" type="list">
      <formula1>"A,B,C"</formula1>
      <formula2>0</formula2>
    </dataValidation>
    <dataValidation allowBlank="false" errorStyle="stop" operator="between" showDropDown="false" showErrorMessage="false" showInputMessage="false" sqref="F12" type="list">
      <formula1>"F1,F2,F3,F4,F5,F6,F7,F8"</formula1>
      <formula2>0</formula2>
    </dataValidation>
    <dataValidation allowBlank="false" errorStyle="stop" operator="between" showDropDown="false" showErrorMessage="false" showInputMessage="false" sqref="E13" type="list">
      <formula1>"A,B,C"</formula1>
      <formula2>0</formula2>
    </dataValidation>
    <dataValidation allowBlank="false" errorStyle="stop" operator="between" showDropDown="false" showErrorMessage="false" showInputMessage="false" sqref="F13" type="list">
      <formula1>"F1,F2,F3,F4,F5,F6,F7,F8"</formula1>
      <formula2>0</formula2>
    </dataValidation>
    <dataValidation allowBlank="false" errorStyle="stop" operator="between" showDropDown="false" showErrorMessage="false" showInputMessage="false" sqref="E14" type="list">
      <formula1>"A,B,C"</formula1>
      <formula2>0</formula2>
    </dataValidation>
    <dataValidation allowBlank="false" errorStyle="stop" operator="between" showDropDown="false" showErrorMessage="false" showInputMessage="false" sqref="F14" type="list">
      <formula1>"F1,F2,F3,F4,F5,F6,F7,F8"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2"/>
    <col collapsed="false" customWidth="true" hidden="false" outlineLevel="0" max="6" min="3" style="1" width="16"/>
    <col collapsed="false" customWidth="true" hidden="false" outlineLevel="0" max="7" min="7" style="1" width="20"/>
  </cols>
  <sheetData>
    <row r="2" customFormat="false" ht="27.75" hidden="false" customHeight="true" outlineLevel="0" collapsed="false">
      <c r="B2" s="11" t="s">
        <v>127</v>
      </c>
      <c r="C2" s="11"/>
      <c r="D2" s="11"/>
      <c r="E2" s="11"/>
      <c r="F2" s="11"/>
      <c r="G2" s="11"/>
    </row>
    <row r="3" customFormat="false" ht="15" hidden="false" customHeight="true" outlineLevel="0" collapsed="false">
      <c r="B3" s="27" t="s">
        <v>128</v>
      </c>
      <c r="C3" s="27"/>
      <c r="D3" s="27"/>
      <c r="E3" s="27"/>
      <c r="F3" s="27"/>
      <c r="G3" s="27"/>
    </row>
    <row r="5" customFormat="false" ht="19.5" hidden="false" customHeight="true" outlineLevel="0" collapsed="false">
      <c r="B5" s="12" t="s">
        <v>129</v>
      </c>
      <c r="C5" s="12"/>
      <c r="D5" s="12"/>
      <c r="E5" s="12"/>
      <c r="F5" s="12"/>
      <c r="G5" s="12"/>
    </row>
    <row r="6" customFormat="false" ht="15" hidden="false" customHeight="true" outlineLevel="0" collapsed="false">
      <c r="B6" s="17" t="s">
        <v>49</v>
      </c>
      <c r="C6" s="17" t="s">
        <v>130</v>
      </c>
      <c r="D6" s="17" t="s">
        <v>131</v>
      </c>
      <c r="E6" s="17" t="s">
        <v>132</v>
      </c>
      <c r="F6" s="17" t="s">
        <v>133</v>
      </c>
      <c r="G6" s="17" t="s">
        <v>134</v>
      </c>
    </row>
    <row r="7" customFormat="false" ht="19.5" hidden="false" customHeight="true" outlineLevel="0" collapsed="false">
      <c r="B7" s="25" t="s">
        <v>110</v>
      </c>
      <c r="C7" s="19" t="s">
        <v>111</v>
      </c>
      <c r="D7" s="40" t="n">
        <f aca="false">SUMIF('Egeninsats &amp; Poäng'!C:C,B7,'Egeninsats &amp; Poäng'!J:J)</f>
        <v>89500</v>
      </c>
      <c r="E7" s="41" t="n">
        <f aca="false">SUMIF('Egeninsats &amp; Poäng'!C:C,B7,'Egeninsats &amp; Poäng'!M:M)</f>
        <v>1106.25</v>
      </c>
      <c r="F7" s="42" t="n">
        <f aca="false">IFERROR(E7/SUM('Egeninsats &amp; Poäng'!M:M),0)</f>
        <v>0.122746185852982</v>
      </c>
      <c r="G7" s="19" t="s">
        <v>135</v>
      </c>
    </row>
    <row r="8" customFormat="false" ht="19.5" hidden="false" customHeight="true" outlineLevel="0" collapsed="false">
      <c r="B8" s="26" t="s">
        <v>116</v>
      </c>
      <c r="C8" s="24" t="s">
        <v>117</v>
      </c>
      <c r="D8" s="32" t="n">
        <f aca="false">SUMIF('Egeninsats &amp; Poäng'!C:C,B8,'Egeninsats &amp; Poäng'!J:J)</f>
        <v>102000</v>
      </c>
      <c r="E8" s="43" t="n">
        <f aca="false">SUMIF('Egeninsats &amp; Poäng'!C:C,B8,'Egeninsats &amp; Poäng'!M:M)</f>
        <v>1275</v>
      </c>
      <c r="F8" s="44" t="n">
        <f aca="false">IFERROR(E8/SUM('Egeninsats &amp; Poäng'!M:M),0)</f>
        <v>0.141470180305132</v>
      </c>
      <c r="G8" s="24" t="s">
        <v>135</v>
      </c>
    </row>
    <row r="9" customFormat="false" ht="19.5" hidden="false" customHeight="true" outlineLevel="0" collapsed="false">
      <c r="B9" s="25" t="s">
        <v>112</v>
      </c>
      <c r="C9" s="19" t="s">
        <v>113</v>
      </c>
      <c r="D9" s="40" t="n">
        <f aca="false">SUMIF('Egeninsats &amp; Poäng'!C:C,B9,'Egeninsats &amp; Poäng'!J:J)</f>
        <v>30000</v>
      </c>
      <c r="E9" s="41" t="n">
        <f aca="false">SUMIF('Egeninsats &amp; Poäng'!C:C,B9,'Egeninsats &amp; Poäng'!M:M)</f>
        <v>450</v>
      </c>
      <c r="F9" s="42" t="n">
        <f aca="false">IFERROR(E9/SUM('Egeninsats &amp; Poäng'!M:M),0)</f>
        <v>0.0499306518723994</v>
      </c>
      <c r="G9" s="19" t="s">
        <v>135</v>
      </c>
    </row>
    <row r="10" customFormat="false" ht="19.5" hidden="false" customHeight="true" outlineLevel="0" collapsed="false">
      <c r="B10" s="26" t="s">
        <v>114</v>
      </c>
      <c r="C10" s="24" t="s">
        <v>115</v>
      </c>
      <c r="D10" s="32" t="n">
        <f aca="false">SUMIF('Egeninsats &amp; Poäng'!C:C,B10,'Egeninsats &amp; Poäng'!J:J)</f>
        <v>27000</v>
      </c>
      <c r="E10" s="43" t="n">
        <f aca="false">SUMIF('Egeninsats &amp; Poäng'!C:C,B10,'Egeninsats &amp; Poäng'!M:M)</f>
        <v>360</v>
      </c>
      <c r="F10" s="44" t="n">
        <f aca="false">IFERROR(E10/SUM('Egeninsats &amp; Poäng'!M:M),0)</f>
        <v>0.0399445214979196</v>
      </c>
      <c r="G10" s="24" t="s">
        <v>135</v>
      </c>
    </row>
    <row r="11" customFormat="false" ht="19.5" hidden="false" customHeight="true" outlineLevel="0" collapsed="false">
      <c r="B11" s="25" t="s">
        <v>118</v>
      </c>
      <c r="C11" s="19" t="s">
        <v>119</v>
      </c>
      <c r="D11" s="40" t="n">
        <f aca="false">SUMIF('Egeninsats &amp; Poäng'!C:C,B11,'Egeninsats &amp; Poäng'!J:J)</f>
        <v>25000</v>
      </c>
      <c r="E11" s="41" t="n">
        <f aca="false">SUMIF('Egeninsats &amp; Poäng'!C:C,B11,'Egeninsats &amp; Poäng'!M:M)</f>
        <v>375</v>
      </c>
      <c r="F11" s="42" t="n">
        <f aca="false">IFERROR(E11/SUM('Egeninsats &amp; Poäng'!M:M),0)</f>
        <v>0.0416088765603329</v>
      </c>
      <c r="G11" s="19" t="s">
        <v>135</v>
      </c>
    </row>
    <row r="12" customFormat="false" ht="19.5" hidden="false" customHeight="true" outlineLevel="0" collapsed="false">
      <c r="B12" s="26" t="s">
        <v>120</v>
      </c>
      <c r="C12" s="24" t="s">
        <v>121</v>
      </c>
      <c r="D12" s="32" t="n">
        <f aca="false">SUMIF('Egeninsats &amp; Poäng'!C:C,B12,'Egeninsats &amp; Poäng'!J:J)</f>
        <v>33000</v>
      </c>
      <c r="E12" s="43" t="n">
        <f aca="false">SUMIF('Egeninsats &amp; Poäng'!C:C,B12,'Egeninsats &amp; Poäng'!M:M)</f>
        <v>450</v>
      </c>
      <c r="F12" s="44" t="n">
        <f aca="false">IFERROR(E12/SUM('Egeninsats &amp; Poäng'!M:M),0)</f>
        <v>0.0499306518723994</v>
      </c>
      <c r="G12" s="24" t="s">
        <v>135</v>
      </c>
    </row>
    <row r="13" customFormat="false" ht="19.5" hidden="false" customHeight="true" outlineLevel="0" collapsed="false">
      <c r="B13" s="25" t="s">
        <v>122</v>
      </c>
      <c r="C13" s="19" t="s">
        <v>123</v>
      </c>
      <c r="D13" s="40" t="n">
        <f aca="false">SUMIF('Egeninsats &amp; Poäng'!C:C,B13,'Egeninsats &amp; Poäng'!J:J)</f>
        <v>16000</v>
      </c>
      <c r="E13" s="41" t="n">
        <f aca="false">SUMIF('Egeninsats &amp; Poäng'!C:C,B13,'Egeninsats &amp; Poäng'!M:M)</f>
        <v>240</v>
      </c>
      <c r="F13" s="42" t="n">
        <f aca="false">IFERROR(E13/SUM('Egeninsats &amp; Poäng'!M:M),0)</f>
        <v>0.026629680998613</v>
      </c>
      <c r="G13" s="19" t="s">
        <v>135</v>
      </c>
    </row>
    <row r="14" customFormat="false" ht="19.5" hidden="false" customHeight="true" outlineLevel="0" collapsed="false">
      <c r="B14" s="26" t="s">
        <v>124</v>
      </c>
      <c r="C14" s="24" t="s">
        <v>125</v>
      </c>
      <c r="D14" s="32" t="n">
        <f aca="false">SUMIF('Egeninsats &amp; Poäng'!C:C,B14,'Egeninsats &amp; Poäng'!J:J)</f>
        <v>0</v>
      </c>
      <c r="E14" s="43" t="n">
        <f aca="false">SUMIF('Egeninsats &amp; Poäng'!C:C,B14,'Egeninsats &amp; Poäng'!M:M)</f>
        <v>250</v>
      </c>
      <c r="F14" s="44" t="n">
        <f aca="false">IFERROR(E14/SUM('Egeninsats &amp; Poäng'!M:M),0)</f>
        <v>0.0277392510402219</v>
      </c>
      <c r="G14" s="24" t="s">
        <v>135</v>
      </c>
    </row>
    <row r="15" customFormat="false" ht="21.75" hidden="false" customHeight="true" outlineLevel="0" collapsed="false">
      <c r="B15" s="45" t="s">
        <v>136</v>
      </c>
      <c r="C15" s="45"/>
      <c r="D15" s="46" t="n">
        <f aca="false">SUM(D7:D14)</f>
        <v>322500</v>
      </c>
      <c r="E15" s="37" t="n">
        <f aca="false">SUM(E7:E14)</f>
        <v>4506.25</v>
      </c>
      <c r="F15" s="47" t="n">
        <f aca="false">SUM(F7:F14)</f>
        <v>0.5</v>
      </c>
      <c r="G15" s="48"/>
    </row>
  </sheetData>
  <mergeCells count="4">
    <mergeCell ref="B2:G2"/>
    <mergeCell ref="B3:G3"/>
    <mergeCell ref="B5:G5"/>
    <mergeCell ref="B15:C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8"/>
    <col collapsed="false" customWidth="true" hidden="false" outlineLevel="0" max="3" min="3" style="1" width="30"/>
    <col collapsed="false" customWidth="true" hidden="false" outlineLevel="0" max="11" min="4" style="1" width="14"/>
  </cols>
  <sheetData>
    <row r="2" customFormat="false" ht="27.75" hidden="false" customHeight="true" outlineLevel="0" collapsed="false">
      <c r="B2" s="11" t="s">
        <v>137</v>
      </c>
      <c r="C2" s="11"/>
      <c r="D2" s="11"/>
      <c r="E2" s="11"/>
      <c r="F2" s="11"/>
      <c r="G2" s="11"/>
      <c r="H2" s="11"/>
      <c r="I2" s="11"/>
      <c r="J2" s="11"/>
      <c r="K2" s="11"/>
    </row>
    <row r="3" customFormat="false" ht="15" hidden="false" customHeight="true" outlineLevel="0" collapsed="false">
      <c r="B3" s="27" t="s">
        <v>138</v>
      </c>
      <c r="C3" s="27"/>
      <c r="D3" s="27"/>
      <c r="E3" s="27"/>
      <c r="F3" s="27"/>
      <c r="G3" s="27"/>
      <c r="H3" s="27"/>
      <c r="I3" s="27"/>
      <c r="J3" s="27"/>
      <c r="K3" s="27"/>
    </row>
    <row r="5" customFormat="false" ht="36" hidden="false" customHeight="true" outlineLevel="0" collapsed="false">
      <c r="B5" s="28" t="s">
        <v>139</v>
      </c>
      <c r="C5" s="28" t="s">
        <v>60</v>
      </c>
      <c r="D5" s="28" t="s">
        <v>140</v>
      </c>
      <c r="E5" s="28" t="s">
        <v>141</v>
      </c>
      <c r="F5" s="28" t="s">
        <v>142</v>
      </c>
      <c r="G5" s="28" t="s">
        <v>143</v>
      </c>
      <c r="H5" s="28" t="s">
        <v>144</v>
      </c>
      <c r="I5" s="28" t="s">
        <v>145</v>
      </c>
      <c r="J5" s="28" t="s">
        <v>146</v>
      </c>
      <c r="K5" s="49" t="s">
        <v>136</v>
      </c>
    </row>
    <row r="6" customFormat="false" ht="21.75" hidden="false" customHeight="true" outlineLevel="0" collapsed="false">
      <c r="B6" s="50" t="s">
        <v>147</v>
      </c>
      <c r="C6" s="51" t="s">
        <v>148</v>
      </c>
      <c r="D6" s="52"/>
      <c r="E6" s="52"/>
      <c r="F6" s="52"/>
      <c r="G6" s="52"/>
      <c r="H6" s="52"/>
      <c r="I6" s="52"/>
      <c r="J6" s="52"/>
      <c r="K6" s="52"/>
    </row>
    <row r="7" customFormat="false" ht="19.5" hidden="false" customHeight="true" outlineLevel="0" collapsed="false">
      <c r="B7" s="53" t="s">
        <v>149</v>
      </c>
      <c r="C7" s="24" t="s">
        <v>150</v>
      </c>
      <c r="D7" s="31"/>
      <c r="E7" s="31"/>
      <c r="F7" s="31"/>
      <c r="G7" s="31"/>
      <c r="H7" s="31"/>
      <c r="I7" s="31"/>
      <c r="J7" s="31"/>
      <c r="K7" s="32" t="n">
        <f aca="false">SUM(D7:J7)</f>
        <v>0</v>
      </c>
    </row>
    <row r="8" customFormat="false" ht="19.5" hidden="false" customHeight="true" outlineLevel="0" collapsed="false">
      <c r="B8" s="53" t="s">
        <v>151</v>
      </c>
      <c r="C8" s="24" t="s">
        <v>152</v>
      </c>
      <c r="D8" s="31"/>
      <c r="E8" s="31"/>
      <c r="F8" s="31"/>
      <c r="G8" s="31"/>
      <c r="H8" s="31"/>
      <c r="I8" s="31"/>
      <c r="J8" s="31"/>
      <c r="K8" s="32" t="n">
        <f aca="false">SUM(D8:J8)</f>
        <v>0</v>
      </c>
    </row>
    <row r="9" customFormat="false" ht="19.5" hidden="false" customHeight="true" outlineLevel="0" collapsed="false">
      <c r="B9" s="53" t="s">
        <v>153</v>
      </c>
      <c r="C9" s="24" t="s">
        <v>154</v>
      </c>
      <c r="D9" s="31"/>
      <c r="E9" s="31"/>
      <c r="F9" s="31"/>
      <c r="G9" s="31"/>
      <c r="H9" s="31"/>
      <c r="I9" s="31"/>
      <c r="J9" s="31"/>
      <c r="K9" s="32" t="n">
        <f aca="false">SUM(D9:J9)</f>
        <v>0</v>
      </c>
    </row>
    <row r="10" customFormat="false" ht="21.75" hidden="false" customHeight="true" outlineLevel="0" collapsed="false">
      <c r="B10" s="50" t="s">
        <v>155</v>
      </c>
      <c r="C10" s="51" t="s">
        <v>156</v>
      </c>
      <c r="D10" s="52"/>
      <c r="E10" s="52"/>
      <c r="F10" s="52"/>
      <c r="G10" s="52"/>
      <c r="H10" s="52"/>
      <c r="I10" s="52"/>
      <c r="J10" s="52"/>
      <c r="K10" s="52"/>
    </row>
    <row r="11" customFormat="false" ht="19.5" hidden="false" customHeight="true" outlineLevel="0" collapsed="false">
      <c r="B11" s="53" t="s">
        <v>157</v>
      </c>
      <c r="C11" s="24" t="s">
        <v>158</v>
      </c>
      <c r="D11" s="31"/>
      <c r="E11" s="31"/>
      <c r="F11" s="31"/>
      <c r="G11" s="31"/>
      <c r="H11" s="31"/>
      <c r="I11" s="31"/>
      <c r="J11" s="31"/>
      <c r="K11" s="32" t="n">
        <f aca="false">SUM(D11:J11)</f>
        <v>0</v>
      </c>
    </row>
    <row r="12" customFormat="false" ht="21.75" hidden="false" customHeight="true" outlineLevel="0" collapsed="false">
      <c r="B12" s="50" t="s">
        <v>159</v>
      </c>
      <c r="C12" s="51" t="s">
        <v>160</v>
      </c>
      <c r="D12" s="52"/>
      <c r="E12" s="52"/>
      <c r="F12" s="52"/>
      <c r="G12" s="52"/>
      <c r="H12" s="52"/>
      <c r="I12" s="52"/>
      <c r="J12" s="52"/>
      <c r="K12" s="52"/>
    </row>
    <row r="13" customFormat="false" ht="19.5" hidden="false" customHeight="true" outlineLevel="0" collapsed="false">
      <c r="B13" s="53" t="s">
        <v>161</v>
      </c>
      <c r="C13" s="24" t="s">
        <v>162</v>
      </c>
      <c r="D13" s="31"/>
      <c r="E13" s="31"/>
      <c r="F13" s="31"/>
      <c r="G13" s="31"/>
      <c r="H13" s="31"/>
      <c r="I13" s="31"/>
      <c r="J13" s="31"/>
      <c r="K13" s="32" t="n">
        <f aca="false">SUM(D13:J13)</f>
        <v>0</v>
      </c>
    </row>
    <row r="14" customFormat="false" ht="19.5" hidden="false" customHeight="true" outlineLevel="0" collapsed="false">
      <c r="B14" s="53" t="s">
        <v>163</v>
      </c>
      <c r="C14" s="24" t="s">
        <v>164</v>
      </c>
      <c r="D14" s="31"/>
      <c r="E14" s="31"/>
      <c r="F14" s="31"/>
      <c r="G14" s="31"/>
      <c r="H14" s="31"/>
      <c r="I14" s="31"/>
      <c r="J14" s="31"/>
      <c r="K14" s="32" t="n">
        <f aca="false">SUM(D14:J14)</f>
        <v>0</v>
      </c>
    </row>
    <row r="15" customFormat="false" ht="21.75" hidden="false" customHeight="true" outlineLevel="0" collapsed="false">
      <c r="B15" s="50" t="s">
        <v>165</v>
      </c>
      <c r="C15" s="51" t="s">
        <v>166</v>
      </c>
      <c r="D15" s="52"/>
      <c r="E15" s="52"/>
      <c r="F15" s="52"/>
      <c r="G15" s="52"/>
      <c r="H15" s="52"/>
      <c r="I15" s="52"/>
      <c r="J15" s="52"/>
      <c r="K15" s="52"/>
    </row>
    <row r="16" customFormat="false" ht="19.5" hidden="false" customHeight="true" outlineLevel="0" collapsed="false">
      <c r="B16" s="53" t="s">
        <v>167</v>
      </c>
      <c r="C16" s="24" t="s">
        <v>168</v>
      </c>
      <c r="D16" s="31"/>
      <c r="E16" s="31"/>
      <c r="F16" s="31"/>
      <c r="G16" s="31"/>
      <c r="H16" s="31"/>
      <c r="I16" s="31"/>
      <c r="J16" s="31"/>
      <c r="K16" s="32" t="n">
        <f aca="false">SUM(D16:J16)</f>
        <v>0</v>
      </c>
    </row>
    <row r="17" customFormat="false" ht="19.5" hidden="false" customHeight="true" outlineLevel="0" collapsed="false">
      <c r="B17" s="53" t="s">
        <v>169</v>
      </c>
      <c r="C17" s="24" t="s">
        <v>170</v>
      </c>
      <c r="D17" s="31"/>
      <c r="E17" s="31"/>
      <c r="F17" s="31"/>
      <c r="G17" s="31"/>
      <c r="H17" s="31"/>
      <c r="I17" s="31"/>
      <c r="J17" s="31"/>
      <c r="K17" s="32" t="n">
        <f aca="false">SUM(D17:J17)</f>
        <v>0</v>
      </c>
    </row>
    <row r="18" customFormat="false" ht="21.75" hidden="false" customHeight="true" outlineLevel="0" collapsed="false">
      <c r="B18" s="50" t="s">
        <v>171</v>
      </c>
      <c r="C18" s="51" t="s">
        <v>172</v>
      </c>
      <c r="D18" s="52"/>
      <c r="E18" s="52"/>
      <c r="F18" s="52"/>
      <c r="G18" s="52"/>
      <c r="H18" s="52"/>
      <c r="I18" s="52"/>
      <c r="J18" s="52"/>
      <c r="K18" s="52"/>
    </row>
    <row r="19" customFormat="false" ht="19.5" hidden="false" customHeight="true" outlineLevel="0" collapsed="false">
      <c r="B19" s="53" t="s">
        <v>173</v>
      </c>
      <c r="C19" s="24" t="s">
        <v>174</v>
      </c>
      <c r="D19" s="31"/>
      <c r="E19" s="31"/>
      <c r="F19" s="31"/>
      <c r="G19" s="31"/>
      <c r="H19" s="31"/>
      <c r="I19" s="31"/>
      <c r="J19" s="31"/>
      <c r="K19" s="32" t="n">
        <f aca="false">SUM(D19:J19)</f>
        <v>0</v>
      </c>
    </row>
    <row r="20" customFormat="false" ht="19.5" hidden="false" customHeight="true" outlineLevel="0" collapsed="false">
      <c r="B20" s="53" t="s">
        <v>175</v>
      </c>
      <c r="C20" s="24" t="s">
        <v>176</v>
      </c>
      <c r="D20" s="31"/>
      <c r="E20" s="31"/>
      <c r="F20" s="31"/>
      <c r="G20" s="31"/>
      <c r="H20" s="31"/>
      <c r="I20" s="31"/>
      <c r="J20" s="31"/>
      <c r="K20" s="32" t="n">
        <f aca="false">SUM(D20:J20)</f>
        <v>0</v>
      </c>
    </row>
    <row r="21" customFormat="false" ht="21.75" hidden="false" customHeight="true" outlineLevel="0" collapsed="false">
      <c r="B21" s="50" t="s">
        <v>177</v>
      </c>
      <c r="C21" s="51" t="s">
        <v>178</v>
      </c>
      <c r="D21" s="52"/>
      <c r="E21" s="52"/>
      <c r="F21" s="52"/>
      <c r="G21" s="52"/>
      <c r="H21" s="52"/>
      <c r="I21" s="52"/>
      <c r="J21" s="52"/>
      <c r="K21" s="52"/>
    </row>
    <row r="22" customFormat="false" ht="19.5" hidden="false" customHeight="true" outlineLevel="0" collapsed="false">
      <c r="B22" s="53" t="s">
        <v>179</v>
      </c>
      <c r="C22" s="24" t="s">
        <v>180</v>
      </c>
      <c r="D22" s="31"/>
      <c r="E22" s="31"/>
      <c r="F22" s="31"/>
      <c r="G22" s="31"/>
      <c r="H22" s="31"/>
      <c r="I22" s="31"/>
      <c r="J22" s="31"/>
      <c r="K22" s="32" t="n">
        <f aca="false">SUM(D22:J22)</f>
        <v>0</v>
      </c>
    </row>
    <row r="23" customFormat="false" ht="19.5" hidden="false" customHeight="true" outlineLevel="0" collapsed="false">
      <c r="B23" s="53" t="s">
        <v>181</v>
      </c>
      <c r="C23" s="24" t="s">
        <v>182</v>
      </c>
      <c r="D23" s="31"/>
      <c r="E23" s="31"/>
      <c r="F23" s="31"/>
      <c r="G23" s="31"/>
      <c r="H23" s="31"/>
      <c r="I23" s="31"/>
      <c r="J23" s="31"/>
      <c r="K23" s="32" t="n">
        <f aca="false">SUM(D23:J23)</f>
        <v>0</v>
      </c>
    </row>
    <row r="24" customFormat="false" ht="21.75" hidden="false" customHeight="true" outlineLevel="0" collapsed="false">
      <c r="B24" s="50" t="s">
        <v>183</v>
      </c>
      <c r="C24" s="51" t="s">
        <v>184</v>
      </c>
      <c r="D24" s="52"/>
      <c r="E24" s="52"/>
      <c r="F24" s="52"/>
      <c r="G24" s="52"/>
      <c r="H24" s="52"/>
      <c r="I24" s="52"/>
      <c r="J24" s="52"/>
      <c r="K24" s="52"/>
    </row>
    <row r="25" customFormat="false" ht="21.75" hidden="false" customHeight="true" outlineLevel="0" collapsed="false">
      <c r="B25" s="50" t="s">
        <v>185</v>
      </c>
      <c r="C25" s="51" t="s">
        <v>186</v>
      </c>
      <c r="D25" s="52"/>
      <c r="E25" s="52"/>
      <c r="F25" s="52"/>
      <c r="G25" s="52"/>
      <c r="H25" s="52"/>
      <c r="I25" s="52"/>
      <c r="J25" s="52"/>
      <c r="K25" s="52"/>
    </row>
    <row r="26" customFormat="false" ht="21.75" hidden="false" customHeight="true" outlineLevel="0" collapsed="false">
      <c r="B26" s="50" t="s">
        <v>187</v>
      </c>
      <c r="C26" s="51" t="s">
        <v>188</v>
      </c>
      <c r="D26" s="52"/>
      <c r="E26" s="52"/>
      <c r="F26" s="52"/>
      <c r="G26" s="52"/>
      <c r="H26" s="52"/>
      <c r="I26" s="52"/>
      <c r="J26" s="52"/>
      <c r="K26" s="52"/>
    </row>
    <row r="27" customFormat="false" ht="21.75" hidden="false" customHeight="true" outlineLevel="0" collapsed="false">
      <c r="B27" s="50" t="s">
        <v>189</v>
      </c>
      <c r="C27" s="51" t="s">
        <v>190</v>
      </c>
      <c r="D27" s="52"/>
      <c r="E27" s="52"/>
      <c r="F27" s="52"/>
      <c r="G27" s="52"/>
      <c r="H27" s="52"/>
      <c r="I27" s="52"/>
      <c r="J27" s="52"/>
      <c r="K27" s="52"/>
    </row>
    <row r="28" customFormat="false" ht="21.75" hidden="false" customHeight="true" outlineLevel="0" collapsed="false">
      <c r="B28" s="50" t="s">
        <v>191</v>
      </c>
      <c r="C28" s="51" t="s">
        <v>192</v>
      </c>
      <c r="D28" s="52"/>
      <c r="E28" s="52"/>
      <c r="F28" s="52"/>
      <c r="G28" s="52"/>
      <c r="H28" s="52"/>
      <c r="I28" s="52"/>
      <c r="J28" s="52"/>
      <c r="K28" s="52"/>
    </row>
    <row r="29" customFormat="false" ht="21.75" hidden="false" customHeight="true" outlineLevel="0" collapsed="false">
      <c r="B29" s="50" t="s">
        <v>193</v>
      </c>
      <c r="C29" s="51" t="s">
        <v>194</v>
      </c>
      <c r="D29" s="52"/>
      <c r="E29" s="52"/>
      <c r="F29" s="52"/>
      <c r="G29" s="52"/>
      <c r="H29" s="52"/>
      <c r="I29" s="52"/>
      <c r="J29" s="52"/>
      <c r="K29" s="52"/>
    </row>
    <row r="30" customFormat="false" ht="21.75" hidden="false" customHeight="true" outlineLevel="0" collapsed="false">
      <c r="B30" s="50" t="s">
        <v>195</v>
      </c>
      <c r="C30" s="51" t="s">
        <v>196</v>
      </c>
      <c r="D30" s="52"/>
      <c r="E30" s="52"/>
      <c r="F30" s="52"/>
      <c r="G30" s="52"/>
      <c r="H30" s="52"/>
      <c r="I30" s="52"/>
      <c r="J30" s="52"/>
      <c r="K30" s="52"/>
    </row>
    <row r="31" customFormat="false" ht="21.75" hidden="false" customHeight="true" outlineLevel="0" collapsed="false">
      <c r="B31" s="50" t="s">
        <v>197</v>
      </c>
      <c r="C31" s="51" t="s">
        <v>198</v>
      </c>
      <c r="D31" s="52"/>
      <c r="E31" s="52"/>
      <c r="F31" s="52"/>
      <c r="G31" s="52"/>
      <c r="H31" s="52"/>
      <c r="I31" s="52"/>
      <c r="J31" s="52"/>
      <c r="K31" s="52"/>
    </row>
    <row r="32" customFormat="false" ht="21.75" hidden="false" customHeight="true" outlineLevel="0" collapsed="false">
      <c r="B32" s="50" t="s">
        <v>199</v>
      </c>
      <c r="C32" s="51" t="s">
        <v>200</v>
      </c>
      <c r="D32" s="52"/>
      <c r="E32" s="52"/>
      <c r="F32" s="52"/>
      <c r="G32" s="52"/>
      <c r="H32" s="52"/>
      <c r="I32" s="52"/>
      <c r="J32" s="52"/>
      <c r="K32" s="52"/>
    </row>
    <row r="33" customFormat="false" ht="19.5" hidden="false" customHeight="true" outlineLevel="0" collapsed="false">
      <c r="B33" s="53" t="s">
        <v>201</v>
      </c>
      <c r="C33" s="24" t="s">
        <v>202</v>
      </c>
      <c r="D33" s="31"/>
      <c r="E33" s="31"/>
      <c r="F33" s="31"/>
      <c r="G33" s="31"/>
      <c r="H33" s="31"/>
      <c r="I33" s="31"/>
      <c r="J33" s="31"/>
      <c r="K33" s="32" t="n">
        <f aca="false">SUM(D33:J33)</f>
        <v>0</v>
      </c>
    </row>
    <row r="34" customFormat="false" ht="19.5" hidden="false" customHeight="true" outlineLevel="0" collapsed="false">
      <c r="B34" s="53" t="s">
        <v>203</v>
      </c>
      <c r="C34" s="24" t="s">
        <v>204</v>
      </c>
      <c r="D34" s="31"/>
      <c r="E34" s="31"/>
      <c r="F34" s="31"/>
      <c r="G34" s="31"/>
      <c r="H34" s="31"/>
      <c r="I34" s="31"/>
      <c r="J34" s="31"/>
      <c r="K34" s="32" t="n">
        <f aca="false">SUM(D34:J34)</f>
        <v>0</v>
      </c>
    </row>
    <row r="35" customFormat="false" ht="21.75" hidden="false" customHeight="true" outlineLevel="0" collapsed="false">
      <c r="B35" s="50" t="s">
        <v>205</v>
      </c>
      <c r="C35" s="51" t="s">
        <v>206</v>
      </c>
      <c r="D35" s="52"/>
      <c r="E35" s="52"/>
      <c r="F35" s="52"/>
      <c r="G35" s="52"/>
      <c r="H35" s="52"/>
      <c r="I35" s="52"/>
      <c r="J35" s="52"/>
      <c r="K35" s="52"/>
    </row>
    <row r="36" customFormat="false" ht="19.5" hidden="false" customHeight="true" outlineLevel="0" collapsed="false">
      <c r="B36" s="53" t="s">
        <v>207</v>
      </c>
      <c r="C36" s="24" t="s">
        <v>208</v>
      </c>
      <c r="D36" s="31"/>
      <c r="E36" s="31"/>
      <c r="F36" s="31"/>
      <c r="G36" s="31"/>
      <c r="H36" s="31"/>
      <c r="I36" s="31"/>
      <c r="J36" s="31"/>
      <c r="K36" s="32" t="n">
        <f aca="false">SUM(D36:J36)</f>
        <v>0</v>
      </c>
    </row>
    <row r="37" customFormat="false" ht="21.75" hidden="false" customHeight="true" outlineLevel="0" collapsed="false">
      <c r="B37" s="50" t="s">
        <v>209</v>
      </c>
      <c r="C37" s="51" t="s">
        <v>210</v>
      </c>
      <c r="D37" s="52"/>
      <c r="E37" s="52"/>
      <c r="F37" s="52"/>
      <c r="G37" s="52"/>
      <c r="H37" s="52"/>
      <c r="I37" s="52"/>
      <c r="J37" s="52"/>
      <c r="K37" s="52"/>
    </row>
    <row r="38" customFormat="false" ht="21.75" hidden="false" customHeight="true" outlineLevel="0" collapsed="false">
      <c r="B38" s="50" t="s">
        <v>211</v>
      </c>
      <c r="C38" s="51" t="s">
        <v>212</v>
      </c>
      <c r="D38" s="52"/>
      <c r="E38" s="52"/>
      <c r="F38" s="52"/>
      <c r="G38" s="52"/>
      <c r="H38" s="52"/>
      <c r="I38" s="52"/>
      <c r="J38" s="52"/>
      <c r="K38" s="52"/>
    </row>
    <row r="39" customFormat="false" ht="21.75" hidden="false" customHeight="true" outlineLevel="0" collapsed="false">
      <c r="B39" s="50" t="s">
        <v>213</v>
      </c>
      <c r="C39" s="51" t="s">
        <v>214</v>
      </c>
      <c r="D39" s="52"/>
      <c r="E39" s="52"/>
      <c r="F39" s="52"/>
      <c r="G39" s="52"/>
      <c r="H39" s="52"/>
      <c r="I39" s="52"/>
      <c r="J39" s="52"/>
      <c r="K39" s="52"/>
    </row>
    <row r="40" customFormat="false" ht="21.75" hidden="false" customHeight="true" outlineLevel="0" collapsed="false">
      <c r="B40" s="50" t="s">
        <v>215</v>
      </c>
      <c r="C40" s="51" t="s">
        <v>216</v>
      </c>
      <c r="D40" s="52"/>
      <c r="E40" s="52"/>
      <c r="F40" s="52"/>
      <c r="G40" s="52"/>
      <c r="H40" s="52"/>
      <c r="I40" s="52"/>
      <c r="J40" s="52"/>
      <c r="K40" s="52"/>
    </row>
    <row r="41" customFormat="false" ht="21.75" hidden="false" customHeight="true" outlineLevel="0" collapsed="false">
      <c r="B41" s="50" t="s">
        <v>217</v>
      </c>
      <c r="C41" s="51" t="s">
        <v>218</v>
      </c>
      <c r="D41" s="52"/>
      <c r="E41" s="52"/>
      <c r="F41" s="52"/>
      <c r="G41" s="52"/>
      <c r="H41" s="52"/>
      <c r="I41" s="52"/>
      <c r="J41" s="52"/>
      <c r="K41" s="52"/>
    </row>
    <row r="42" customFormat="false" ht="21.75" hidden="false" customHeight="true" outlineLevel="0" collapsed="false">
      <c r="B42" s="50" t="s">
        <v>219</v>
      </c>
      <c r="C42" s="51" t="s">
        <v>220</v>
      </c>
      <c r="D42" s="52"/>
      <c r="E42" s="52"/>
      <c r="F42" s="52"/>
      <c r="G42" s="52"/>
      <c r="H42" s="52"/>
      <c r="I42" s="52"/>
      <c r="J42" s="52"/>
      <c r="K42" s="52"/>
    </row>
    <row r="43" customFormat="false" ht="21.75" hidden="false" customHeight="true" outlineLevel="0" collapsed="false">
      <c r="B43" s="50" t="s">
        <v>221</v>
      </c>
      <c r="C43" s="51" t="s">
        <v>222</v>
      </c>
      <c r="D43" s="52"/>
      <c r="E43" s="52"/>
      <c r="F43" s="52"/>
      <c r="G43" s="52"/>
      <c r="H43" s="52"/>
      <c r="I43" s="52"/>
      <c r="J43" s="52"/>
      <c r="K43" s="52"/>
    </row>
    <row r="44" customFormat="false" ht="21.75" hidden="false" customHeight="true" outlineLevel="0" collapsed="false">
      <c r="B44" s="50" t="s">
        <v>223</v>
      </c>
      <c r="C44" s="51" t="s">
        <v>224</v>
      </c>
      <c r="D44" s="52"/>
      <c r="E44" s="52"/>
      <c r="F44" s="52"/>
      <c r="G44" s="52"/>
      <c r="H44" s="52"/>
      <c r="I44" s="52"/>
      <c r="J44" s="52"/>
      <c r="K44" s="52"/>
    </row>
    <row r="45" customFormat="false" ht="21.75" hidden="false" customHeight="true" outlineLevel="0" collapsed="false">
      <c r="B45" s="50" t="s">
        <v>225</v>
      </c>
      <c r="C45" s="51" t="s">
        <v>226</v>
      </c>
      <c r="D45" s="52"/>
      <c r="E45" s="52"/>
      <c r="F45" s="52"/>
      <c r="G45" s="52"/>
      <c r="H45" s="52"/>
      <c r="I45" s="52"/>
      <c r="J45" s="52"/>
      <c r="K45" s="52"/>
    </row>
    <row r="46" customFormat="false" ht="21.75" hidden="false" customHeight="true" outlineLevel="0" collapsed="false">
      <c r="B46" s="54" t="s">
        <v>227</v>
      </c>
      <c r="C46" s="45" t="s">
        <v>228</v>
      </c>
      <c r="D46" s="46" t="n">
        <f aca="false">SUM(D6:D45)</f>
        <v>0</v>
      </c>
      <c r="E46" s="46" t="n">
        <f aca="false">SUM(E6:E45)</f>
        <v>0</v>
      </c>
      <c r="F46" s="46" t="n">
        <f aca="false">SUM(F6:F45)</f>
        <v>0</v>
      </c>
      <c r="G46" s="46" t="n">
        <f aca="false">SUM(G6:G45)</f>
        <v>0</v>
      </c>
      <c r="H46" s="46" t="n">
        <f aca="false">SUM(H6:H45)</f>
        <v>0</v>
      </c>
      <c r="I46" s="46" t="n">
        <f aca="false">SUM(I6:I45)</f>
        <v>0</v>
      </c>
      <c r="J46" s="46" t="n">
        <f aca="false">SUM(J6:J45)</f>
        <v>0</v>
      </c>
      <c r="K46" s="46" t="n">
        <f aca="false">SUM(D46:J46)</f>
        <v>0</v>
      </c>
    </row>
  </sheetData>
  <mergeCells count="2">
    <mergeCell ref="B2:K2"/>
    <mergeCell ref="B3:K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0"/>
    <col collapsed="false" customWidth="true" hidden="false" outlineLevel="0" max="6" min="3" style="1" width="18"/>
  </cols>
  <sheetData>
    <row r="2" customFormat="false" ht="27.75" hidden="false" customHeight="true" outlineLevel="0" collapsed="false">
      <c r="B2" s="11" t="s">
        <v>229</v>
      </c>
      <c r="C2" s="11"/>
      <c r="D2" s="11"/>
      <c r="E2" s="11"/>
      <c r="F2" s="11"/>
    </row>
    <row r="3" customFormat="false" ht="15" hidden="false" customHeight="true" outlineLevel="0" collapsed="false">
      <c r="B3" s="27" t="s">
        <v>230</v>
      </c>
      <c r="C3" s="27"/>
      <c r="D3" s="27"/>
      <c r="E3" s="27"/>
      <c r="F3" s="27"/>
    </row>
    <row r="5" customFormat="false" ht="36" hidden="false" customHeight="true" outlineLevel="0" collapsed="false">
      <c r="D5" s="55" t="s">
        <v>231</v>
      </c>
      <c r="E5" s="55" t="s">
        <v>232</v>
      </c>
      <c r="F5" s="55" t="s">
        <v>233</v>
      </c>
    </row>
    <row r="6" customFormat="false" ht="15" hidden="false" customHeight="true" outlineLevel="0" collapsed="false">
      <c r="B6" s="12" t="s">
        <v>234</v>
      </c>
      <c r="C6" s="12"/>
      <c r="D6" s="12"/>
      <c r="E6" s="12"/>
      <c r="F6" s="12"/>
    </row>
    <row r="7" customFormat="false" ht="19.5" hidden="false" customHeight="true" outlineLevel="0" collapsed="false">
      <c r="B7" s="19" t="s">
        <v>235</v>
      </c>
      <c r="D7" s="31" t="n">
        <v>500000</v>
      </c>
      <c r="E7" s="31" t="n">
        <v>2000000</v>
      </c>
      <c r="F7" s="31" t="n">
        <v>8000000</v>
      </c>
    </row>
    <row r="8" customFormat="false" ht="19.5" hidden="false" customHeight="true" outlineLevel="0" collapsed="false">
      <c r="B8" s="24" t="s">
        <v>236</v>
      </c>
      <c r="D8" s="56" t="n">
        <v>0.25</v>
      </c>
      <c r="E8" s="56" t="n">
        <v>0.25</v>
      </c>
      <c r="F8" s="56" t="n">
        <v>0.2</v>
      </c>
    </row>
    <row r="9" customFormat="false" ht="19.5" hidden="false" customHeight="true" outlineLevel="0" collapsed="false">
      <c r="B9" s="19" t="s">
        <v>237</v>
      </c>
      <c r="D9" s="31"/>
      <c r="E9" s="31"/>
      <c r="F9" s="31"/>
    </row>
    <row r="10" customFormat="false" ht="19.5" hidden="false" customHeight="true" outlineLevel="0" collapsed="false">
      <c r="B10" s="24" t="s">
        <v>238</v>
      </c>
      <c r="D10" s="31" t="n">
        <v>0</v>
      </c>
      <c r="E10" s="31" t="n">
        <v>500000</v>
      </c>
      <c r="F10" s="31" t="n">
        <v>1000000</v>
      </c>
    </row>
    <row r="11" customFormat="false" ht="19.5" hidden="false" customHeight="true" outlineLevel="0" collapsed="false">
      <c r="B11" s="19" t="s">
        <v>239</v>
      </c>
      <c r="D11" s="21" t="n">
        <v>1</v>
      </c>
      <c r="E11" s="21" t="n">
        <v>1.2</v>
      </c>
      <c r="F11" s="21" t="n">
        <v>1.2</v>
      </c>
    </row>
    <row r="12" customFormat="false" ht="19.5" hidden="false" customHeight="true" outlineLevel="0" collapsed="false">
      <c r="B12" s="24" t="s">
        <v>240</v>
      </c>
      <c r="D12" s="31"/>
      <c r="E12" s="31"/>
      <c r="F12" s="31"/>
    </row>
    <row r="14" customFormat="false" ht="15" hidden="false" customHeight="true" outlineLevel="0" collapsed="false">
      <c r="B14" s="12" t="s">
        <v>241</v>
      </c>
      <c r="C14" s="12"/>
      <c r="D14" s="12"/>
      <c r="E14" s="12"/>
      <c r="F14" s="12"/>
    </row>
    <row r="15" customFormat="false" ht="21.75" hidden="false" customHeight="true" outlineLevel="0" collapsed="false">
      <c r="B15" s="19" t="s">
        <v>242</v>
      </c>
      <c r="D15" s="40" t="n">
        <f aca="false">D7</f>
        <v>500000</v>
      </c>
      <c r="E15" s="40" t="n">
        <f aca="false">E7</f>
        <v>2000000</v>
      </c>
      <c r="F15" s="40" t="n">
        <f aca="false">F7</f>
        <v>8000000</v>
      </c>
    </row>
    <row r="16" customFormat="false" ht="21.75" hidden="false" customHeight="true" outlineLevel="0" collapsed="false">
      <c r="B16" s="24" t="s">
        <v>243</v>
      </c>
      <c r="D16" s="32" t="n">
        <f aca="false">-D7*D8</f>
        <v>-125000</v>
      </c>
      <c r="E16" s="32" t="n">
        <f aca="false">-E7*E8</f>
        <v>-500000</v>
      </c>
      <c r="F16" s="32" t="n">
        <f aca="false">-F7*F8</f>
        <v>-1600000</v>
      </c>
    </row>
    <row r="17" customFormat="false" ht="21.75" hidden="false" customHeight="true" outlineLevel="0" collapsed="false">
      <c r="B17" s="57" t="s">
        <v>244</v>
      </c>
      <c r="D17" s="46" t="n">
        <f aca="false">D15+D16</f>
        <v>375000</v>
      </c>
      <c r="E17" s="46" t="n">
        <f aca="false">E15+E16</f>
        <v>1500000</v>
      </c>
      <c r="F17" s="46" t="n">
        <f aca="false">F15+F16</f>
        <v>6400000</v>
      </c>
    </row>
    <row r="18" customFormat="false" ht="21.75" hidden="false" customHeight="true" outlineLevel="0" collapsed="false">
      <c r="B18" s="24" t="s">
        <v>245</v>
      </c>
      <c r="D18" s="32" t="n">
        <f aca="false">-MIN(D10*D11,D17)</f>
        <v>-0</v>
      </c>
      <c r="E18" s="32" t="n">
        <f aca="false">-MIN(E10*E11,E17)</f>
        <v>-600000</v>
      </c>
      <c r="F18" s="32" t="n">
        <f aca="false">-MIN(F10*F11,F17)</f>
        <v>-1200000</v>
      </c>
    </row>
    <row r="19" customFormat="false" ht="21.75" hidden="false" customHeight="true" outlineLevel="0" collapsed="false">
      <c r="B19" s="57" t="s">
        <v>246</v>
      </c>
      <c r="D19" s="46" t="n">
        <f aca="false">D17+D18</f>
        <v>375000</v>
      </c>
      <c r="E19" s="46" t="n">
        <f aca="false">E17+E18</f>
        <v>900000</v>
      </c>
      <c r="F19" s="46" t="n">
        <f aca="false">F17+F18</f>
        <v>5200000</v>
      </c>
    </row>
    <row r="20" customFormat="false" ht="21.75" hidden="false" customHeight="true" outlineLevel="0" collapsed="false">
      <c r="B20" s="24" t="s">
        <v>247</v>
      </c>
      <c r="D20" s="32" t="n">
        <f aca="false">-MIN(D12,MAX(0,D19))</f>
        <v>-375000</v>
      </c>
      <c r="E20" s="32" t="n">
        <f aca="false">-MIN(E12,MAX(0,E19))</f>
        <v>-900000</v>
      </c>
      <c r="F20" s="32" t="n">
        <f aca="false">-MIN(F12,MAX(0,F19))</f>
        <v>-5200000</v>
      </c>
    </row>
    <row r="21" customFormat="false" ht="21.75" hidden="false" customHeight="true" outlineLevel="0" collapsed="false">
      <c r="B21" s="57" t="s">
        <v>248</v>
      </c>
      <c r="D21" s="46" t="n">
        <f aca="false">MAX(0,D19+D20)</f>
        <v>0</v>
      </c>
      <c r="E21" s="46" t="n">
        <f aca="false">MAX(0,E19+E20)</f>
        <v>0</v>
      </c>
      <c r="F21" s="46" t="n">
        <f aca="false">MAX(0,F19+F20)</f>
        <v>0</v>
      </c>
    </row>
    <row r="22" customFormat="false" ht="21.75" hidden="false" customHeight="true" outlineLevel="0" collapsed="false">
      <c r="B22" s="58" t="s">
        <v>249</v>
      </c>
      <c r="D22" s="32" t="n">
        <f aca="false">D21*0.5</f>
        <v>0</v>
      </c>
      <c r="E22" s="32" t="n">
        <f aca="false">E21*0.5</f>
        <v>0</v>
      </c>
      <c r="F22" s="32" t="n">
        <f aca="false">F21*0.5</f>
        <v>0</v>
      </c>
    </row>
    <row r="23" customFormat="false" ht="21.75" hidden="false" customHeight="true" outlineLevel="0" collapsed="false">
      <c r="B23" s="59" t="s">
        <v>250</v>
      </c>
      <c r="D23" s="40" t="n">
        <f aca="false">D21*0.5</f>
        <v>0</v>
      </c>
      <c r="E23" s="40" t="n">
        <f aca="false">E21*0.5</f>
        <v>0</v>
      </c>
      <c r="F23" s="40" t="n">
        <f aca="false">F21*0.5</f>
        <v>0</v>
      </c>
    </row>
    <row r="24" customFormat="false" ht="21.75" hidden="false" customHeight="true" outlineLevel="0" collapsed="false">
      <c r="B24" s="57" t="s">
        <v>251</v>
      </c>
      <c r="D24" s="46" t="n">
        <f aca="false">D22+D23</f>
        <v>0</v>
      </c>
      <c r="E24" s="46" t="n">
        <f aca="false">E22+E23</f>
        <v>0</v>
      </c>
      <c r="F24" s="46" t="n">
        <f aca="false">F22+F23</f>
        <v>0</v>
      </c>
    </row>
    <row r="27" customFormat="false" ht="18" hidden="false" customHeight="true" outlineLevel="0" collapsed="false">
      <c r="B27" s="27" t="s">
        <v>252</v>
      </c>
      <c r="C27" s="27"/>
      <c r="D27" s="27"/>
      <c r="E27" s="27"/>
      <c r="F27" s="27"/>
    </row>
  </sheetData>
  <mergeCells count="5">
    <mergeCell ref="B2:F2"/>
    <mergeCell ref="B3:F3"/>
    <mergeCell ref="B6:F6"/>
    <mergeCell ref="B14:F14"/>
    <mergeCell ref="B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K2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6"/>
    <col collapsed="false" customWidth="true" hidden="false" outlineLevel="0" max="3" min="3" style="1" width="24"/>
    <col collapsed="false" customWidth="true" hidden="false" outlineLevel="0" max="4" min="4" style="1" width="14"/>
    <col collapsed="false" customWidth="true" hidden="false" outlineLevel="0" max="6" min="5" style="1" width="10"/>
    <col collapsed="false" customWidth="true" hidden="false" outlineLevel="0" max="10" min="7" style="1" width="14"/>
    <col collapsed="false" customWidth="true" hidden="false" outlineLevel="0" max="11" min="11" style="1" width="18"/>
  </cols>
  <sheetData>
    <row r="1" customFormat="false" ht="7.5" hidden="false" customHeight="true" outlineLevel="0" collapsed="false"/>
    <row r="2" customFormat="false" ht="24" hidden="false" customHeight="true" outlineLevel="0" collapsed="false">
      <c r="B2" s="60" t="n">
        <f aca="false">Projektinställningar!C5</f>
        <v>0</v>
      </c>
      <c r="C2" s="60"/>
      <c r="D2" s="60"/>
      <c r="E2" s="60"/>
      <c r="F2" s="60"/>
      <c r="G2" s="60"/>
      <c r="H2" s="60"/>
    </row>
    <row r="3" customFormat="false" ht="18" hidden="false" customHeight="true" outlineLevel="0" collapsed="false">
      <c r="B3" s="61" t="s">
        <v>253</v>
      </c>
      <c r="C3" s="61"/>
      <c r="D3" s="61"/>
      <c r="E3" s="61"/>
      <c r="F3" s="61"/>
      <c r="G3" s="61"/>
      <c r="H3" s="61"/>
    </row>
    <row r="4" customFormat="false" ht="6" hidden="false" customHeight="true" outlineLevel="0" collapsed="false">
      <c r="B4" s="4"/>
      <c r="C4" s="4"/>
      <c r="D4" s="4"/>
      <c r="E4" s="4"/>
      <c r="F4" s="4"/>
      <c r="G4" s="4"/>
      <c r="H4" s="4"/>
      <c r="I4" s="4"/>
      <c r="J4" s="4"/>
      <c r="K4" s="4"/>
    </row>
    <row r="5" customFormat="false" ht="9.75" hidden="false" customHeight="true" outlineLevel="0" collapsed="false"/>
    <row r="6" customFormat="false" ht="27.75" hidden="false" customHeight="true" outlineLevel="0" collapsed="false">
      <c r="B6" s="2" t="s">
        <v>110</v>
      </c>
      <c r="C6" s="2"/>
      <c r="D6" s="2"/>
      <c r="E6" s="2"/>
      <c r="F6" s="2"/>
    </row>
    <row r="7" customFormat="false" ht="18" hidden="false" customHeight="true" outlineLevel="0" collapsed="false">
      <c r="B7" s="62" t="s">
        <v>111</v>
      </c>
      <c r="C7" s="62"/>
      <c r="D7" s="62"/>
      <c r="E7" s="62"/>
      <c r="F7" s="62"/>
    </row>
    <row r="8" customFormat="false" ht="7.5" hidden="false" customHeight="true" outlineLevel="0" collapsed="false"/>
    <row r="9" customFormat="false" ht="18" hidden="false" customHeight="true" outlineLevel="0" collapsed="false">
      <c r="B9" s="63" t="s">
        <v>254</v>
      </c>
      <c r="C9" s="63"/>
      <c r="D9" s="63"/>
      <c r="E9" s="63" t="s">
        <v>255</v>
      </c>
      <c r="F9" s="63"/>
      <c r="G9" s="63"/>
      <c r="H9" s="63" t="s">
        <v>256</v>
      </c>
      <c r="I9" s="63"/>
      <c r="J9" s="63"/>
    </row>
    <row r="10" customFormat="false" ht="31.5" hidden="false" customHeight="true" outlineLevel="0" collapsed="false">
      <c r="B10" s="64" t="n">
        <f aca="false">'Equity Dashboard'!D7</f>
        <v>89500</v>
      </c>
      <c r="C10" s="64"/>
      <c r="D10" s="64"/>
      <c r="E10" s="65" t="n">
        <f aca="false">'Equity Dashboard'!E7</f>
        <v>1106.25</v>
      </c>
      <c r="F10" s="65"/>
      <c r="G10" s="65"/>
      <c r="H10" s="66" t="n">
        <f aca="false">'Equity Dashboard'!F7</f>
        <v>0.122746185852982</v>
      </c>
      <c r="I10" s="66"/>
      <c r="J10" s="66"/>
    </row>
    <row r="11" customFormat="false" ht="12" hidden="false" customHeight="true" outlineLevel="0" collapsed="false"/>
    <row r="12" customFormat="false" ht="19.5" hidden="false" customHeight="true" outlineLevel="0" collapsed="false">
      <c r="B12" s="63" t="s">
        <v>257</v>
      </c>
      <c r="C12" s="63"/>
      <c r="D12" s="63"/>
      <c r="E12" s="63"/>
      <c r="F12" s="63"/>
      <c r="G12" s="63"/>
      <c r="H12" s="63"/>
      <c r="I12" s="63"/>
      <c r="J12" s="63"/>
      <c r="K12" s="63"/>
    </row>
    <row r="13" customFormat="false" ht="30" hidden="false" customHeight="true" outlineLevel="0" collapsed="false">
      <c r="B13" s="49" t="s">
        <v>59</v>
      </c>
      <c r="C13" s="49" t="s">
        <v>60</v>
      </c>
      <c r="D13" s="49" t="s">
        <v>102</v>
      </c>
      <c r="E13" s="49" t="s">
        <v>258</v>
      </c>
      <c r="F13" s="49" t="s">
        <v>259</v>
      </c>
      <c r="G13" s="49" t="s">
        <v>260</v>
      </c>
      <c r="H13" s="49" t="s">
        <v>261</v>
      </c>
      <c r="I13" s="49" t="s">
        <v>262</v>
      </c>
      <c r="J13" s="49" t="s">
        <v>263</v>
      </c>
      <c r="K13" s="49" t="s">
        <v>264</v>
      </c>
    </row>
    <row r="14" customFormat="false" ht="19.5" hidden="false" customHeight="true" outlineLevel="0" collapsed="false">
      <c r="B14" s="18" t="s">
        <v>66</v>
      </c>
      <c r="C14" s="67" t="str">
        <f aca="false">Projektinställningar!C24</f>
        <v>Development</v>
      </c>
      <c r="D14" s="68" t="n">
        <f aca="false">SUMIFS('Egeninsats &amp; Poäng'!G:G,'Egeninsats &amp; Poäng'!C:C,"Anna Lindström",'Egeninsats &amp; Poäng'!F:F,"F1")</f>
        <v>15</v>
      </c>
      <c r="E14" s="68" t="n">
        <f aca="false">IFERROR(SUMIFS('Egeninsats &amp; Poäng'!H:H,'Egeninsats &amp; Poäng'!C:C,"Anna Lindström",'Egeninsats &amp; Poäng'!F:F,"F1")/SUMIFS('Egeninsats &amp; Poäng'!G:G,'Egeninsats &amp; Poäng'!C:C,"Anna Lindström",'Egeninsats &amp; Poäng'!F:F,"F1"),"")</f>
        <v>0</v>
      </c>
      <c r="F14" s="68" t="n">
        <f aca="false">IFERROR(SUMIFS('Egeninsats &amp; Poäng'!I:I,'Egeninsats &amp; Poäng'!C:C,"Anna Lindström",'Egeninsats &amp; Poäng'!F:F,"F1")/SUMIFS('Egeninsats &amp; Poäng'!G:G,'Egeninsats &amp; Poäng'!C:C,"Anna Lindström",'Egeninsats &amp; Poäng'!F:F,"F1"),"")</f>
        <v>166.666666666667</v>
      </c>
      <c r="G14" s="68" t="n">
        <f aca="false">SUMIFS('Egeninsats &amp; Poäng'!J:J,'Egeninsats &amp; Poäng'!C:C,"Anna Lindström",'Egeninsats &amp; Poäng'!F:F,"F1")</f>
        <v>37500</v>
      </c>
      <c r="H14" s="69" t="n">
        <f aca="false">IFERROR(SUMIFS('Egeninsats &amp; Poäng'!K:K,'Egeninsats &amp; Poäng'!C:C,"Anna Lindström",'Egeninsats &amp; Poäng'!F:F,"F1")/SUMIFS('Egeninsats &amp; Poäng'!G:G,'Egeninsats &amp; Poäng'!C:C,"Anna Lindström",'Egeninsats &amp; Poäng'!F:F,"F1"),"")</f>
        <v>1.5</v>
      </c>
      <c r="I14" s="70" t="n">
        <f aca="false">IFERROR(SUMIFS('Egeninsats &amp; Poäng'!L:L,'Egeninsats &amp; Poäng'!C:C,"Anna Lindström",'Egeninsats &amp; Poäng'!F:F,"F1")/SUMIFS('Egeninsats &amp; Poäng'!G:G,'Egeninsats &amp; Poäng'!C:C,"Anna Lindström",'Egeninsats &amp; Poäng'!F:F,"F1"),"")</f>
        <v>0.1</v>
      </c>
      <c r="J14" s="34" t="n">
        <f aca="false">SUMIFS('Egeninsats &amp; Poäng'!M:M,'Egeninsats &amp; Poäng'!C:C,"Anna Lindström",'Egeninsats &amp; Poäng'!F:F,"F1")</f>
        <v>506.25</v>
      </c>
      <c r="K14" s="71" t="n">
        <f aca="false">IFERROR(J14/'Equity Dashboard'!E7,"")</f>
        <v>0.457627118644068</v>
      </c>
    </row>
    <row r="15" customFormat="false" ht="19.5" hidden="false" customHeight="true" outlineLevel="0" collapsed="false">
      <c r="B15" s="23" t="s">
        <v>69</v>
      </c>
      <c r="C15" s="72" t="str">
        <f aca="false">Projektinställningar!C25</f>
        <v>Pre-production</v>
      </c>
      <c r="D15" s="73" t="n">
        <f aca="false">SUMIFS('Egeninsats &amp; Poäng'!G:G,'Egeninsats &amp; Poäng'!C:C,"Anna Lindström",'Egeninsats &amp; Poäng'!F:F,"F2")</f>
        <v>0</v>
      </c>
      <c r="E15" s="73" t="str">
        <f aca="false">IFERROR(SUMIFS('Egeninsats &amp; Poäng'!H:H,'Egeninsats &amp; Poäng'!C:C,"Anna Lindström",'Egeninsats &amp; Poäng'!F:F,"F2")/SUMIFS('Egeninsats &amp; Poäng'!G:G,'Egeninsats &amp; Poäng'!C:C,"Anna Lindström",'Egeninsats &amp; Poäng'!F:F,"F2"),"")</f>
        <v/>
      </c>
      <c r="F15" s="73" t="str">
        <f aca="false">IFERROR(SUMIFS('Egeninsats &amp; Poäng'!I:I,'Egeninsats &amp; Poäng'!C:C,"Anna Lindström",'Egeninsats &amp; Poäng'!F:F,"F2")/SUMIFS('Egeninsats &amp; Poäng'!G:G,'Egeninsats &amp; Poäng'!C:C,"Anna Lindström",'Egeninsats &amp; Poäng'!F:F,"F2"),"")</f>
        <v/>
      </c>
      <c r="G15" s="73" t="n">
        <f aca="false">SUMIFS('Egeninsats &amp; Poäng'!J:J,'Egeninsats &amp; Poäng'!C:C,"Anna Lindström",'Egeninsats &amp; Poäng'!F:F,"F2")</f>
        <v>0</v>
      </c>
      <c r="H15" s="74" t="str">
        <f aca="false">IFERROR(SUMIFS('Egeninsats &amp; Poäng'!K:K,'Egeninsats &amp; Poäng'!C:C,"Anna Lindström",'Egeninsats &amp; Poäng'!F:F,"F2")/SUMIFS('Egeninsats &amp; Poäng'!G:G,'Egeninsats &amp; Poäng'!C:C,"Anna Lindström",'Egeninsats &amp; Poäng'!F:F,"F2"),"")</f>
        <v/>
      </c>
      <c r="I15" s="75" t="str">
        <f aca="false">IFERROR(SUMIFS('Egeninsats &amp; Poäng'!L:L,'Egeninsats &amp; Poäng'!C:C,"Anna Lindström",'Egeninsats &amp; Poäng'!F:F,"F2")/SUMIFS('Egeninsats &amp; Poäng'!G:G,'Egeninsats &amp; Poäng'!C:C,"Anna Lindström",'Egeninsats &amp; Poäng'!F:F,"F2"),"")</f>
        <v/>
      </c>
      <c r="J15" s="76" t="n">
        <f aca="false">SUMIFS('Egeninsats &amp; Poäng'!M:M,'Egeninsats &amp; Poäng'!C:C,"Anna Lindström",'Egeninsats &amp; Poäng'!F:F,"F2")</f>
        <v>0</v>
      </c>
      <c r="K15" s="77" t="n">
        <f aca="false">IFERROR(J15/'Equity Dashboard'!E7,"")</f>
        <v>0</v>
      </c>
    </row>
    <row r="16" customFormat="false" ht="19.5" hidden="false" customHeight="true" outlineLevel="0" collapsed="false">
      <c r="B16" s="18" t="s">
        <v>71</v>
      </c>
      <c r="C16" s="67" t="str">
        <f aca="false">Projektinställningar!C26</f>
        <v>Pilot / Testinsp.</v>
      </c>
      <c r="D16" s="68" t="n">
        <f aca="false">SUMIFS('Egeninsats &amp; Poäng'!G:G,'Egeninsats &amp; Poäng'!C:C,"Anna Lindström",'Egeninsats &amp; Poäng'!F:F,"F3")</f>
        <v>0</v>
      </c>
      <c r="E16" s="68" t="str">
        <f aca="false">IFERROR(SUMIFS('Egeninsats &amp; Poäng'!H:H,'Egeninsats &amp; Poäng'!C:C,"Anna Lindström",'Egeninsats &amp; Poäng'!F:F,"F3")/SUMIFS('Egeninsats &amp; Poäng'!G:G,'Egeninsats &amp; Poäng'!C:C,"Anna Lindström",'Egeninsats &amp; Poäng'!F:F,"F3"),"")</f>
        <v/>
      </c>
      <c r="F16" s="68" t="str">
        <f aca="false">IFERROR(SUMIFS('Egeninsats &amp; Poäng'!I:I,'Egeninsats &amp; Poäng'!C:C,"Anna Lindström",'Egeninsats &amp; Poäng'!F:F,"F3")/SUMIFS('Egeninsats &amp; Poäng'!G:G,'Egeninsats &amp; Poäng'!C:C,"Anna Lindström",'Egeninsats &amp; Poäng'!F:F,"F3"),"")</f>
        <v/>
      </c>
      <c r="G16" s="68" t="n">
        <f aca="false">SUMIFS('Egeninsats &amp; Poäng'!J:J,'Egeninsats &amp; Poäng'!C:C,"Anna Lindström",'Egeninsats &amp; Poäng'!F:F,"F3")</f>
        <v>0</v>
      </c>
      <c r="H16" s="69" t="str">
        <f aca="false">IFERROR(SUMIFS('Egeninsats &amp; Poäng'!K:K,'Egeninsats &amp; Poäng'!C:C,"Anna Lindström",'Egeninsats &amp; Poäng'!F:F,"F3")/SUMIFS('Egeninsats &amp; Poäng'!G:G,'Egeninsats &amp; Poäng'!C:C,"Anna Lindström",'Egeninsats &amp; Poäng'!F:F,"F3"),"")</f>
        <v/>
      </c>
      <c r="I16" s="70" t="str">
        <f aca="false">IFERROR(SUMIFS('Egeninsats &amp; Poäng'!L:L,'Egeninsats &amp; Poäng'!C:C,"Anna Lindström",'Egeninsats &amp; Poäng'!F:F,"F3")/SUMIFS('Egeninsats &amp; Poäng'!G:G,'Egeninsats &amp; Poäng'!C:C,"Anna Lindström",'Egeninsats &amp; Poäng'!F:F,"F3"),"")</f>
        <v/>
      </c>
      <c r="J16" s="34" t="n">
        <f aca="false">SUMIFS('Egeninsats &amp; Poäng'!M:M,'Egeninsats &amp; Poäng'!C:C,"Anna Lindström",'Egeninsats &amp; Poäng'!F:F,"F3")</f>
        <v>0</v>
      </c>
      <c r="K16" s="71" t="n">
        <f aca="false">IFERROR(J16/'Equity Dashboard'!E7,"")</f>
        <v>0</v>
      </c>
    </row>
    <row r="17" customFormat="false" ht="19.5" hidden="false" customHeight="true" outlineLevel="0" collapsed="false">
      <c r="B17" s="23" t="s">
        <v>74</v>
      </c>
      <c r="C17" s="72" t="str">
        <f aca="false">Projektinställningar!C27</f>
        <v>Production Fas 1</v>
      </c>
      <c r="D17" s="73" t="n">
        <f aca="false">SUMIFS('Egeninsats &amp; Poäng'!G:G,'Egeninsats &amp; Poäng'!C:C,"Anna Lindström",'Egeninsats &amp; Poäng'!F:F,"F4")</f>
        <v>40</v>
      </c>
      <c r="E17" s="73" t="n">
        <f aca="false">IFERROR(SUMIFS('Egeninsats &amp; Poäng'!H:H,'Egeninsats &amp; Poäng'!C:C,"Anna Lindström",'Egeninsats &amp; Poäng'!F:F,"F4")/SUMIFS('Egeninsats &amp; Poäng'!G:G,'Egeninsats &amp; Poäng'!C:C,"Anna Lindström",'Egeninsats &amp; Poäng'!F:F,"F4"),"")</f>
        <v>30</v>
      </c>
      <c r="F17" s="73" t="n">
        <f aca="false">IFERROR(SUMIFS('Egeninsats &amp; Poäng'!I:I,'Egeninsats &amp; Poäng'!C:C,"Anna Lindström",'Egeninsats &amp; Poäng'!F:F,"F4")/SUMIFS('Egeninsats &amp; Poäng'!G:G,'Egeninsats &amp; Poäng'!C:C,"Anna Lindström",'Egeninsats &amp; Poäng'!F:F,"F4"),"")</f>
        <v>62.5</v>
      </c>
      <c r="G17" s="73" t="n">
        <f aca="false">SUMIFS('Egeninsats &amp; Poäng'!J:J,'Egeninsats &amp; Poäng'!C:C,"Anna Lindström",'Egeninsats &amp; Poäng'!F:F,"F4")</f>
        <v>52000</v>
      </c>
      <c r="H17" s="74" t="n">
        <f aca="false">IFERROR(SUMIFS('Egeninsats &amp; Poäng'!K:K,'Egeninsats &amp; Poäng'!C:C,"Anna Lindström",'Egeninsats &amp; Poäng'!F:F,"F4")/SUMIFS('Egeninsats &amp; Poäng'!G:G,'Egeninsats &amp; Poäng'!C:C,"Anna Lindström",'Egeninsats &amp; Poäng'!F:F,"F4"),"")</f>
        <v>0.25</v>
      </c>
      <c r="I17" s="75" t="n">
        <f aca="false">IFERROR(SUMIFS('Egeninsats &amp; Poäng'!L:L,'Egeninsats &amp; Poäng'!C:C,"Anna Lindström",'Egeninsats &amp; Poäng'!F:F,"F4")/SUMIFS('Egeninsats &amp; Poäng'!G:G,'Egeninsats &amp; Poäng'!C:C,"Anna Lindström",'Egeninsats &amp; Poäng'!F:F,"F4"),"")</f>
        <v>0.0375</v>
      </c>
      <c r="J17" s="76" t="n">
        <f aca="false">SUMIFS('Egeninsats &amp; Poäng'!M:M,'Egeninsats &amp; Poäng'!C:C,"Anna Lindström",'Egeninsats &amp; Poäng'!F:F,"F4")</f>
        <v>600</v>
      </c>
      <c r="K17" s="77" t="n">
        <f aca="false">IFERROR(J17/'Equity Dashboard'!E7,"")</f>
        <v>0.542372881355932</v>
      </c>
    </row>
    <row r="18" customFormat="false" ht="19.5" hidden="false" customHeight="true" outlineLevel="0" collapsed="false">
      <c r="B18" s="18" t="s">
        <v>76</v>
      </c>
      <c r="C18" s="67" t="str">
        <f aca="false">Projektinställningar!C28</f>
        <v>Production Fas 2</v>
      </c>
      <c r="D18" s="68" t="n">
        <f aca="false">SUMIFS('Egeninsats &amp; Poäng'!G:G,'Egeninsats &amp; Poäng'!C:C,"Anna Lindström",'Egeninsats &amp; Poäng'!F:F,"F5")</f>
        <v>0</v>
      </c>
      <c r="E18" s="68" t="str">
        <f aca="false">IFERROR(SUMIFS('Egeninsats &amp; Poäng'!H:H,'Egeninsats &amp; Poäng'!C:C,"Anna Lindström",'Egeninsats &amp; Poäng'!F:F,"F5")/SUMIFS('Egeninsats &amp; Poäng'!G:G,'Egeninsats &amp; Poäng'!C:C,"Anna Lindström",'Egeninsats &amp; Poäng'!F:F,"F5"),"")</f>
        <v/>
      </c>
      <c r="F18" s="68" t="str">
        <f aca="false">IFERROR(SUMIFS('Egeninsats &amp; Poäng'!I:I,'Egeninsats &amp; Poäng'!C:C,"Anna Lindström",'Egeninsats &amp; Poäng'!F:F,"F5")/SUMIFS('Egeninsats &amp; Poäng'!G:G,'Egeninsats &amp; Poäng'!C:C,"Anna Lindström",'Egeninsats &amp; Poäng'!F:F,"F5"),"")</f>
        <v/>
      </c>
      <c r="G18" s="68" t="n">
        <f aca="false">SUMIFS('Egeninsats &amp; Poäng'!J:J,'Egeninsats &amp; Poäng'!C:C,"Anna Lindström",'Egeninsats &amp; Poäng'!F:F,"F5")</f>
        <v>0</v>
      </c>
      <c r="H18" s="69" t="str">
        <f aca="false">IFERROR(SUMIFS('Egeninsats &amp; Poäng'!K:K,'Egeninsats &amp; Poäng'!C:C,"Anna Lindström",'Egeninsats &amp; Poäng'!F:F,"F5")/SUMIFS('Egeninsats &amp; Poäng'!G:G,'Egeninsats &amp; Poäng'!C:C,"Anna Lindström",'Egeninsats &amp; Poäng'!F:F,"F5"),"")</f>
        <v/>
      </c>
      <c r="I18" s="70" t="str">
        <f aca="false">IFERROR(SUMIFS('Egeninsats &amp; Poäng'!L:L,'Egeninsats &amp; Poäng'!C:C,"Anna Lindström",'Egeninsats &amp; Poäng'!F:F,"F5")/SUMIFS('Egeninsats &amp; Poäng'!G:G,'Egeninsats &amp; Poäng'!C:C,"Anna Lindström",'Egeninsats &amp; Poäng'!F:F,"F5"),"")</f>
        <v/>
      </c>
      <c r="J18" s="34" t="n">
        <f aca="false">SUMIFS('Egeninsats &amp; Poäng'!M:M,'Egeninsats &amp; Poäng'!C:C,"Anna Lindström",'Egeninsats &amp; Poäng'!F:F,"F5")</f>
        <v>0</v>
      </c>
      <c r="K18" s="71" t="n">
        <f aca="false">IFERROR(J18/'Equity Dashboard'!E7,"")</f>
        <v>0</v>
      </c>
    </row>
    <row r="19" customFormat="false" ht="19.5" hidden="false" customHeight="true" outlineLevel="0" collapsed="false">
      <c r="B19" s="23" t="s">
        <v>78</v>
      </c>
      <c r="C19" s="72" t="str">
        <f aca="false">Projektinställningar!C29</f>
        <v>Post-production</v>
      </c>
      <c r="D19" s="73" t="n">
        <f aca="false">SUMIFS('Egeninsats &amp; Poäng'!G:G,'Egeninsats &amp; Poäng'!C:C,"Anna Lindström",'Egeninsats &amp; Poäng'!F:F,"F6")</f>
        <v>0</v>
      </c>
      <c r="E19" s="73" t="str">
        <f aca="false">IFERROR(SUMIFS('Egeninsats &amp; Poäng'!H:H,'Egeninsats &amp; Poäng'!C:C,"Anna Lindström",'Egeninsats &amp; Poäng'!F:F,"F6")/SUMIFS('Egeninsats &amp; Poäng'!G:G,'Egeninsats &amp; Poäng'!C:C,"Anna Lindström",'Egeninsats &amp; Poäng'!F:F,"F6"),"")</f>
        <v/>
      </c>
      <c r="F19" s="73" t="str">
        <f aca="false">IFERROR(SUMIFS('Egeninsats &amp; Poäng'!I:I,'Egeninsats &amp; Poäng'!C:C,"Anna Lindström",'Egeninsats &amp; Poäng'!F:F,"F6")/SUMIFS('Egeninsats &amp; Poäng'!G:G,'Egeninsats &amp; Poäng'!C:C,"Anna Lindström",'Egeninsats &amp; Poäng'!F:F,"F6"),"")</f>
        <v/>
      </c>
      <c r="G19" s="73" t="n">
        <f aca="false">SUMIFS('Egeninsats &amp; Poäng'!J:J,'Egeninsats &amp; Poäng'!C:C,"Anna Lindström",'Egeninsats &amp; Poäng'!F:F,"F6")</f>
        <v>0</v>
      </c>
      <c r="H19" s="74" t="str">
        <f aca="false">IFERROR(SUMIFS('Egeninsats &amp; Poäng'!K:K,'Egeninsats &amp; Poäng'!C:C,"Anna Lindström",'Egeninsats &amp; Poäng'!F:F,"F6")/SUMIFS('Egeninsats &amp; Poäng'!G:G,'Egeninsats &amp; Poäng'!C:C,"Anna Lindström",'Egeninsats &amp; Poäng'!F:F,"F6"),"")</f>
        <v/>
      </c>
      <c r="I19" s="75" t="str">
        <f aca="false">IFERROR(SUMIFS('Egeninsats &amp; Poäng'!L:L,'Egeninsats &amp; Poäng'!C:C,"Anna Lindström",'Egeninsats &amp; Poäng'!F:F,"F6")/SUMIFS('Egeninsats &amp; Poäng'!G:G,'Egeninsats &amp; Poäng'!C:C,"Anna Lindström",'Egeninsats &amp; Poäng'!F:F,"F6"),"")</f>
        <v/>
      </c>
      <c r="J19" s="76" t="n">
        <f aca="false">SUMIFS('Egeninsats &amp; Poäng'!M:M,'Egeninsats &amp; Poäng'!C:C,"Anna Lindström",'Egeninsats &amp; Poäng'!F:F,"F6")</f>
        <v>0</v>
      </c>
      <c r="K19" s="77" t="n">
        <f aca="false">IFERROR(J19/'Equity Dashboard'!E7,"")</f>
        <v>0</v>
      </c>
    </row>
    <row r="20" customFormat="false" ht="19.5" hidden="false" customHeight="true" outlineLevel="0" collapsed="false">
      <c r="B20" s="18" t="s">
        <v>80</v>
      </c>
      <c r="C20" s="67" t="str">
        <f aca="false">Projektinställningar!C30</f>
        <v>Promotion / Lansering</v>
      </c>
      <c r="D20" s="68" t="n">
        <f aca="false">SUMIFS('Egeninsats &amp; Poäng'!G:G,'Egeninsats &amp; Poäng'!C:C,"Anna Lindström",'Egeninsats &amp; Poäng'!F:F,"F7")</f>
        <v>0</v>
      </c>
      <c r="E20" s="68" t="str">
        <f aca="false">IFERROR(SUMIFS('Egeninsats &amp; Poäng'!H:H,'Egeninsats &amp; Poäng'!C:C,"Anna Lindström",'Egeninsats &amp; Poäng'!F:F,"F7")/SUMIFS('Egeninsats &amp; Poäng'!G:G,'Egeninsats &amp; Poäng'!C:C,"Anna Lindström",'Egeninsats &amp; Poäng'!F:F,"F7"),"")</f>
        <v/>
      </c>
      <c r="F20" s="68" t="str">
        <f aca="false">IFERROR(SUMIFS('Egeninsats &amp; Poäng'!I:I,'Egeninsats &amp; Poäng'!C:C,"Anna Lindström",'Egeninsats &amp; Poäng'!F:F,"F7")/SUMIFS('Egeninsats &amp; Poäng'!G:G,'Egeninsats &amp; Poäng'!C:C,"Anna Lindström",'Egeninsats &amp; Poäng'!F:F,"F7"),"")</f>
        <v/>
      </c>
      <c r="G20" s="68" t="n">
        <f aca="false">SUMIFS('Egeninsats &amp; Poäng'!J:J,'Egeninsats &amp; Poäng'!C:C,"Anna Lindström",'Egeninsats &amp; Poäng'!F:F,"F7")</f>
        <v>0</v>
      </c>
      <c r="H20" s="69" t="str">
        <f aca="false">IFERROR(SUMIFS('Egeninsats &amp; Poäng'!K:K,'Egeninsats &amp; Poäng'!C:C,"Anna Lindström",'Egeninsats &amp; Poäng'!F:F,"F7")/SUMIFS('Egeninsats &amp; Poäng'!G:G,'Egeninsats &amp; Poäng'!C:C,"Anna Lindström",'Egeninsats &amp; Poäng'!F:F,"F7"),"")</f>
        <v/>
      </c>
      <c r="I20" s="70" t="str">
        <f aca="false">IFERROR(SUMIFS('Egeninsats &amp; Poäng'!L:L,'Egeninsats &amp; Poäng'!C:C,"Anna Lindström",'Egeninsats &amp; Poäng'!F:F,"F7")/SUMIFS('Egeninsats &amp; Poäng'!G:G,'Egeninsats &amp; Poäng'!C:C,"Anna Lindström",'Egeninsats &amp; Poäng'!F:F,"F7"),"")</f>
        <v/>
      </c>
      <c r="J20" s="34" t="n">
        <f aca="false">SUMIFS('Egeninsats &amp; Poäng'!M:M,'Egeninsats &amp; Poäng'!C:C,"Anna Lindström",'Egeninsats &amp; Poäng'!F:F,"F7")</f>
        <v>0</v>
      </c>
      <c r="K20" s="71" t="n">
        <f aca="false">IFERROR(J20/'Equity Dashboard'!E7,"")</f>
        <v>0</v>
      </c>
    </row>
    <row r="21" customFormat="false" ht="19.5" hidden="false" customHeight="true" outlineLevel="0" collapsed="false">
      <c r="B21" s="23" t="s">
        <v>82</v>
      </c>
      <c r="C21" s="72" t="str">
        <f aca="false">Projektinställningar!C31</f>
        <v>Övrigt</v>
      </c>
      <c r="D21" s="73" t="n">
        <f aca="false">SUMIFS('Egeninsats &amp; Poäng'!G:G,'Egeninsats &amp; Poäng'!C:C,"Anna Lindström",'Egeninsats &amp; Poäng'!F:F,"F8")</f>
        <v>0</v>
      </c>
      <c r="E21" s="73" t="str">
        <f aca="false">IFERROR(SUMIFS('Egeninsats &amp; Poäng'!H:H,'Egeninsats &amp; Poäng'!C:C,"Anna Lindström",'Egeninsats &amp; Poäng'!F:F,"F8")/SUMIFS('Egeninsats &amp; Poäng'!G:G,'Egeninsats &amp; Poäng'!C:C,"Anna Lindström",'Egeninsats &amp; Poäng'!F:F,"F8"),"")</f>
        <v/>
      </c>
      <c r="F21" s="73" t="str">
        <f aca="false">IFERROR(SUMIFS('Egeninsats &amp; Poäng'!I:I,'Egeninsats &amp; Poäng'!C:C,"Anna Lindström",'Egeninsats &amp; Poäng'!F:F,"F8")/SUMIFS('Egeninsats &amp; Poäng'!G:G,'Egeninsats &amp; Poäng'!C:C,"Anna Lindström",'Egeninsats &amp; Poäng'!F:F,"F8"),"")</f>
        <v/>
      </c>
      <c r="G21" s="73" t="n">
        <f aca="false">SUMIFS('Egeninsats &amp; Poäng'!J:J,'Egeninsats &amp; Poäng'!C:C,"Anna Lindström",'Egeninsats &amp; Poäng'!F:F,"F8")</f>
        <v>0</v>
      </c>
      <c r="H21" s="74" t="str">
        <f aca="false">IFERROR(SUMIFS('Egeninsats &amp; Poäng'!K:K,'Egeninsats &amp; Poäng'!C:C,"Anna Lindström",'Egeninsats &amp; Poäng'!F:F,"F8")/SUMIFS('Egeninsats &amp; Poäng'!G:G,'Egeninsats &amp; Poäng'!C:C,"Anna Lindström",'Egeninsats &amp; Poäng'!F:F,"F8"),"")</f>
        <v/>
      </c>
      <c r="I21" s="75" t="str">
        <f aca="false">IFERROR(SUMIFS('Egeninsats &amp; Poäng'!L:L,'Egeninsats &amp; Poäng'!C:C,"Anna Lindström",'Egeninsats &amp; Poäng'!F:F,"F8")/SUMIFS('Egeninsats &amp; Poäng'!G:G,'Egeninsats &amp; Poäng'!C:C,"Anna Lindström",'Egeninsats &amp; Poäng'!F:F,"F8"),"")</f>
        <v/>
      </c>
      <c r="J21" s="76" t="n">
        <f aca="false">SUMIFS('Egeninsats &amp; Poäng'!M:M,'Egeninsats &amp; Poäng'!C:C,"Anna Lindström",'Egeninsats &amp; Poäng'!F:F,"F8")</f>
        <v>0</v>
      </c>
      <c r="K21" s="77" t="n">
        <f aca="false">IFERROR(J21/'Equity Dashboard'!E7,"")</f>
        <v>0</v>
      </c>
    </row>
    <row r="22" customFormat="false" ht="21.75" hidden="false" customHeight="true" outlineLevel="0" collapsed="false">
      <c r="B22" s="78" t="s">
        <v>136</v>
      </c>
      <c r="C22" s="78"/>
      <c r="D22" s="79" t="n">
        <f aca="false">SUM(D14:D21)</f>
        <v>55</v>
      </c>
      <c r="E22" s="80"/>
      <c r="F22" s="80"/>
      <c r="G22" s="79" t="n">
        <f aca="false">SUM(G14:G21)</f>
        <v>89500</v>
      </c>
      <c r="H22" s="80"/>
      <c r="I22" s="80"/>
      <c r="J22" s="81" t="n">
        <f aca="false">SUM(J14:J21)</f>
        <v>1106.25</v>
      </c>
      <c r="K22" s="80"/>
    </row>
    <row r="23" customFormat="false" ht="12" hidden="false" customHeight="true" outlineLevel="0" collapsed="false"/>
    <row r="24" customFormat="false" ht="19.5" hidden="false" customHeight="true" outlineLevel="0" collapsed="false">
      <c r="B24" s="63" t="s">
        <v>265</v>
      </c>
      <c r="C24" s="63"/>
      <c r="D24" s="63"/>
      <c r="E24" s="63"/>
      <c r="F24" s="63"/>
      <c r="G24" s="63"/>
      <c r="H24" s="63"/>
      <c r="I24" s="63"/>
      <c r="J24" s="63"/>
      <c r="K24" s="63"/>
    </row>
    <row r="25" customFormat="false" ht="27.75" hidden="false" customHeight="true" outlineLevel="0" collapsed="false">
      <c r="B25" s="82" t="s">
        <v>266</v>
      </c>
      <c r="C25" s="82"/>
      <c r="D25" s="82"/>
      <c r="E25" s="82"/>
      <c r="F25" s="82"/>
      <c r="G25" s="82"/>
      <c r="H25" s="82"/>
      <c r="I25" s="82"/>
      <c r="J25" s="82"/>
      <c r="K25" s="82"/>
    </row>
    <row r="26" customFormat="false" ht="30" hidden="false" customHeight="true" outlineLevel="0" collapsed="false">
      <c r="B26" s="55" t="s">
        <v>231</v>
      </c>
      <c r="C26" s="55"/>
      <c r="D26" s="55"/>
      <c r="E26" s="55" t="s">
        <v>267</v>
      </c>
      <c r="F26" s="55"/>
      <c r="G26" s="55"/>
      <c r="H26" s="55" t="s">
        <v>233</v>
      </c>
      <c r="I26" s="55"/>
      <c r="J26" s="55"/>
    </row>
    <row r="27" customFormat="false" ht="19.5" hidden="false" customHeight="true" outlineLevel="0" collapsed="false">
      <c r="B27" s="83" t="s">
        <v>268</v>
      </c>
      <c r="C27" s="83"/>
      <c r="D27" s="83"/>
      <c r="E27" s="83" t="s">
        <v>268</v>
      </c>
      <c r="F27" s="83"/>
      <c r="G27" s="83"/>
      <c r="H27" s="83" t="s">
        <v>268</v>
      </c>
      <c r="I27" s="83"/>
      <c r="J27" s="83"/>
    </row>
    <row r="28" customFormat="false" ht="36" hidden="false" customHeight="true" outlineLevel="0" collapsed="false">
      <c r="B28" s="83" t="n">
        <f aca="false">'Waterfall Simulering'!D22</f>
        <v>0</v>
      </c>
      <c r="C28" s="83"/>
      <c r="D28" s="83"/>
      <c r="E28" s="83" t="n">
        <f aca="false">'Waterfall Simulering'!E22</f>
        <v>0</v>
      </c>
      <c r="F28" s="83"/>
      <c r="G28" s="83"/>
      <c r="H28" s="83" t="n">
        <f aca="false">'Waterfall Simulering'!F22</f>
        <v>0</v>
      </c>
      <c r="I28" s="83"/>
      <c r="J28" s="83"/>
    </row>
    <row r="29" customFormat="false" ht="12" hidden="false" customHeight="true" outlineLevel="0" collapsed="false">
      <c r="B29" s="84" t="n">
        <f aca="false">'Equity Dashboard'!F7*'Waterfall Simulering'!D22</f>
        <v>0</v>
      </c>
      <c r="E29" s="84" t="n">
        <f aca="false">'Equity Dashboard'!F7*'Waterfall Simulering'!E22</f>
        <v>0</v>
      </c>
      <c r="H29" s="84" t="n">
        <f aca="false">'Equity Dashboard'!F7*'Waterfall Simulering'!F22</f>
        <v>0</v>
      </c>
    </row>
    <row r="30" customFormat="false" ht="15.75" hidden="false" customHeight="true" outlineLevel="0" collapsed="false">
      <c r="B30" s="85" t="s">
        <v>269</v>
      </c>
      <c r="C30" s="85"/>
      <c r="D30" s="85"/>
      <c r="E30" s="85"/>
      <c r="F30" s="85"/>
      <c r="G30" s="85"/>
      <c r="H30" s="85"/>
      <c r="I30" s="85"/>
      <c r="J30" s="85"/>
      <c r="K30" s="85"/>
    </row>
    <row r="33" customFormat="false" ht="4.5" hidden="false" customHeight="true" outlineLevel="0" collapsed="false"/>
    <row r="34" customFormat="false" ht="7.5" hidden="false" customHeight="true" outlineLevel="0" collapsed="false"/>
    <row r="35" customFormat="false" ht="24" hidden="false" customHeight="true" outlineLevel="0" collapsed="false">
      <c r="B35" s="60" t="n">
        <f aca="false">Projektinställningar!C5</f>
        <v>0</v>
      </c>
      <c r="C35" s="60"/>
      <c r="D35" s="60"/>
      <c r="E35" s="60"/>
      <c r="F35" s="60"/>
      <c r="G35" s="60"/>
      <c r="H35" s="60"/>
    </row>
    <row r="36" customFormat="false" ht="18" hidden="false" customHeight="true" outlineLevel="0" collapsed="false">
      <c r="B36" s="61" t="s">
        <v>253</v>
      </c>
      <c r="C36" s="61"/>
      <c r="D36" s="61"/>
      <c r="E36" s="61"/>
      <c r="F36" s="61"/>
      <c r="G36" s="61"/>
      <c r="H36" s="61"/>
    </row>
    <row r="37" customFormat="false" ht="6" hidden="false" customHeight="true" outlineLevel="0" collapsed="false">
      <c r="B37" s="4"/>
      <c r="C37" s="4"/>
      <c r="D37" s="4"/>
      <c r="E37" s="4"/>
      <c r="F37" s="4"/>
      <c r="G37" s="4"/>
      <c r="H37" s="4"/>
      <c r="I37" s="4"/>
      <c r="J37" s="4"/>
      <c r="K37" s="4"/>
    </row>
    <row r="38" customFormat="false" ht="9.75" hidden="false" customHeight="true" outlineLevel="0" collapsed="false"/>
    <row r="39" customFormat="false" ht="27.75" hidden="false" customHeight="true" outlineLevel="0" collapsed="false">
      <c r="B39" s="2" t="s">
        <v>116</v>
      </c>
      <c r="C39" s="2"/>
      <c r="D39" s="2"/>
      <c r="E39" s="2"/>
      <c r="F39" s="2"/>
    </row>
    <row r="40" customFormat="false" ht="18" hidden="false" customHeight="true" outlineLevel="0" collapsed="false">
      <c r="B40" s="62" t="s">
        <v>117</v>
      </c>
      <c r="C40" s="62"/>
      <c r="D40" s="62"/>
      <c r="E40" s="62"/>
      <c r="F40" s="62"/>
    </row>
    <row r="41" customFormat="false" ht="7.5" hidden="false" customHeight="true" outlineLevel="0" collapsed="false"/>
    <row r="42" customFormat="false" ht="18" hidden="false" customHeight="true" outlineLevel="0" collapsed="false">
      <c r="B42" s="63" t="s">
        <v>254</v>
      </c>
      <c r="C42" s="63"/>
      <c r="D42" s="63"/>
      <c r="E42" s="63" t="s">
        <v>255</v>
      </c>
      <c r="F42" s="63"/>
      <c r="G42" s="63"/>
      <c r="H42" s="63" t="s">
        <v>256</v>
      </c>
      <c r="I42" s="63"/>
      <c r="J42" s="63"/>
    </row>
    <row r="43" customFormat="false" ht="31.5" hidden="false" customHeight="true" outlineLevel="0" collapsed="false">
      <c r="B43" s="64" t="n">
        <f aca="false">'Equity Dashboard'!D8</f>
        <v>102000</v>
      </c>
      <c r="C43" s="64"/>
      <c r="D43" s="64"/>
      <c r="E43" s="65" t="n">
        <f aca="false">'Equity Dashboard'!E8</f>
        <v>1275</v>
      </c>
      <c r="F43" s="65"/>
      <c r="G43" s="65"/>
      <c r="H43" s="66" t="n">
        <f aca="false">'Equity Dashboard'!F8</f>
        <v>0.141470180305132</v>
      </c>
      <c r="I43" s="66"/>
      <c r="J43" s="66"/>
    </row>
    <row r="44" customFormat="false" ht="12" hidden="false" customHeight="true" outlineLevel="0" collapsed="false"/>
    <row r="45" customFormat="false" ht="19.5" hidden="false" customHeight="true" outlineLevel="0" collapsed="false">
      <c r="B45" s="63" t="s">
        <v>257</v>
      </c>
      <c r="C45" s="63"/>
      <c r="D45" s="63"/>
      <c r="E45" s="63"/>
      <c r="F45" s="63"/>
      <c r="G45" s="63"/>
      <c r="H45" s="63"/>
      <c r="I45" s="63"/>
      <c r="J45" s="63"/>
      <c r="K45" s="63"/>
    </row>
    <row r="46" customFormat="false" ht="30" hidden="false" customHeight="true" outlineLevel="0" collapsed="false">
      <c r="B46" s="49" t="s">
        <v>59</v>
      </c>
      <c r="C46" s="49" t="s">
        <v>60</v>
      </c>
      <c r="D46" s="49" t="s">
        <v>102</v>
      </c>
      <c r="E46" s="49" t="s">
        <v>258</v>
      </c>
      <c r="F46" s="49" t="s">
        <v>259</v>
      </c>
      <c r="G46" s="49" t="s">
        <v>260</v>
      </c>
      <c r="H46" s="49" t="s">
        <v>261</v>
      </c>
      <c r="I46" s="49" t="s">
        <v>262</v>
      </c>
      <c r="J46" s="49" t="s">
        <v>263</v>
      </c>
      <c r="K46" s="49" t="s">
        <v>264</v>
      </c>
    </row>
    <row r="47" customFormat="false" ht="19.5" hidden="false" customHeight="true" outlineLevel="0" collapsed="false">
      <c r="B47" s="18" t="s">
        <v>66</v>
      </c>
      <c r="C47" s="67" t="str">
        <f aca="false">Projektinställningar!C24</f>
        <v>Development</v>
      </c>
      <c r="D47" s="68" t="n">
        <f aca="false">SUMIFS('Egeninsats &amp; Poäng'!G:G,'Egeninsats &amp; Poäng'!C:C,"Per Gustafsson",'Egeninsats &amp; Poäng'!F:F,"F1")</f>
        <v>20</v>
      </c>
      <c r="E47" s="68" t="n">
        <f aca="false">IFERROR(SUMIFS('Egeninsats &amp; Poäng'!H:H,'Egeninsats &amp; Poäng'!C:C,"Per Gustafsson",'Egeninsats &amp; Poäng'!F:F,"F1")/SUMIFS('Egeninsats &amp; Poäng'!G:G,'Egeninsats &amp; Poäng'!C:C,"Per Gustafsson",'Egeninsats &amp; Poäng'!F:F,"F1"),"")</f>
        <v>0</v>
      </c>
      <c r="F47" s="68" t="n">
        <f aca="false">IFERROR(SUMIFS('Egeninsats &amp; Poäng'!I:I,'Egeninsats &amp; Poäng'!C:C,"Per Gustafsson",'Egeninsats &amp; Poäng'!F:F,"F1")/SUMIFS('Egeninsats &amp; Poäng'!G:G,'Egeninsats &amp; Poäng'!C:C,"Per Gustafsson",'Egeninsats &amp; Poäng'!F:F,"F1"),"")</f>
        <v>125</v>
      </c>
      <c r="G47" s="68" t="n">
        <f aca="false">SUMIFS('Egeninsats &amp; Poäng'!J:J,'Egeninsats &amp; Poäng'!C:C,"Per Gustafsson",'Egeninsats &amp; Poäng'!F:F,"F1")</f>
        <v>50000</v>
      </c>
      <c r="H47" s="69" t="n">
        <f aca="false">IFERROR(SUMIFS('Egeninsats &amp; Poäng'!K:K,'Egeninsats &amp; Poäng'!C:C,"Per Gustafsson",'Egeninsats &amp; Poäng'!F:F,"F1")/SUMIFS('Egeninsats &amp; Poäng'!G:G,'Egeninsats &amp; Poäng'!C:C,"Per Gustafsson",'Egeninsats &amp; Poäng'!F:F,"F1"),"")</f>
        <v>1.125</v>
      </c>
      <c r="I47" s="70" t="n">
        <f aca="false">IFERROR(SUMIFS('Egeninsats &amp; Poäng'!L:L,'Egeninsats &amp; Poäng'!C:C,"Per Gustafsson",'Egeninsats &amp; Poäng'!F:F,"F1")/SUMIFS('Egeninsats &amp; Poäng'!G:G,'Egeninsats &amp; Poäng'!C:C,"Per Gustafsson",'Egeninsats &amp; Poäng'!F:F,"F1"),"")</f>
        <v>0.075</v>
      </c>
      <c r="J47" s="34" t="n">
        <f aca="false">SUMIFS('Egeninsats &amp; Poäng'!M:M,'Egeninsats &amp; Poäng'!C:C,"Per Gustafsson",'Egeninsats &amp; Poäng'!F:F,"F1")</f>
        <v>675</v>
      </c>
      <c r="K47" s="71" t="n">
        <f aca="false">IFERROR(J47/'Equity Dashboard'!E8,"")</f>
        <v>0.529411764705882</v>
      </c>
    </row>
    <row r="48" customFormat="false" ht="19.5" hidden="false" customHeight="true" outlineLevel="0" collapsed="false">
      <c r="B48" s="23" t="s">
        <v>69</v>
      </c>
      <c r="C48" s="72" t="str">
        <f aca="false">Projektinställningar!C25</f>
        <v>Pre-production</v>
      </c>
      <c r="D48" s="73" t="n">
        <f aca="false">SUMIFS('Egeninsats &amp; Poäng'!G:G,'Egeninsats &amp; Poäng'!C:C,"Per Gustafsson",'Egeninsats &amp; Poäng'!F:F,"F2")</f>
        <v>0</v>
      </c>
      <c r="E48" s="73" t="str">
        <f aca="false">IFERROR(SUMIFS('Egeninsats &amp; Poäng'!H:H,'Egeninsats &amp; Poäng'!C:C,"Per Gustafsson",'Egeninsats &amp; Poäng'!F:F,"F2")/SUMIFS('Egeninsats &amp; Poäng'!G:G,'Egeninsats &amp; Poäng'!C:C,"Per Gustafsson",'Egeninsats &amp; Poäng'!F:F,"F2"),"")</f>
        <v/>
      </c>
      <c r="F48" s="73" t="str">
        <f aca="false">IFERROR(SUMIFS('Egeninsats &amp; Poäng'!I:I,'Egeninsats &amp; Poäng'!C:C,"Per Gustafsson",'Egeninsats &amp; Poäng'!F:F,"F2")/SUMIFS('Egeninsats &amp; Poäng'!G:G,'Egeninsats &amp; Poäng'!C:C,"Per Gustafsson",'Egeninsats &amp; Poäng'!F:F,"F2"),"")</f>
        <v/>
      </c>
      <c r="G48" s="73" t="n">
        <f aca="false">SUMIFS('Egeninsats &amp; Poäng'!J:J,'Egeninsats &amp; Poäng'!C:C,"Per Gustafsson",'Egeninsats &amp; Poäng'!F:F,"F2")</f>
        <v>0</v>
      </c>
      <c r="H48" s="74" t="str">
        <f aca="false">IFERROR(SUMIFS('Egeninsats &amp; Poäng'!K:K,'Egeninsats &amp; Poäng'!C:C,"Per Gustafsson",'Egeninsats &amp; Poäng'!F:F,"F2")/SUMIFS('Egeninsats &amp; Poäng'!G:G,'Egeninsats &amp; Poäng'!C:C,"Per Gustafsson",'Egeninsats &amp; Poäng'!F:F,"F2"),"")</f>
        <v/>
      </c>
      <c r="I48" s="75" t="str">
        <f aca="false">IFERROR(SUMIFS('Egeninsats &amp; Poäng'!L:L,'Egeninsats &amp; Poäng'!C:C,"Per Gustafsson",'Egeninsats &amp; Poäng'!F:F,"F2")/SUMIFS('Egeninsats &amp; Poäng'!G:G,'Egeninsats &amp; Poäng'!C:C,"Per Gustafsson",'Egeninsats &amp; Poäng'!F:F,"F2"),"")</f>
        <v/>
      </c>
      <c r="J48" s="76" t="n">
        <f aca="false">SUMIFS('Egeninsats &amp; Poäng'!M:M,'Egeninsats &amp; Poäng'!C:C,"Per Gustafsson",'Egeninsats &amp; Poäng'!F:F,"F2")</f>
        <v>0</v>
      </c>
      <c r="K48" s="77" t="n">
        <f aca="false">IFERROR(J48/'Equity Dashboard'!E8,"")</f>
        <v>0</v>
      </c>
    </row>
    <row r="49" customFormat="false" ht="19.5" hidden="false" customHeight="true" outlineLevel="0" collapsed="false">
      <c r="B49" s="18" t="s">
        <v>71</v>
      </c>
      <c r="C49" s="67" t="str">
        <f aca="false">Projektinställningar!C26</f>
        <v>Pilot / Testinsp.</v>
      </c>
      <c r="D49" s="68" t="n">
        <f aca="false">SUMIFS('Egeninsats &amp; Poäng'!G:G,'Egeninsats &amp; Poäng'!C:C,"Per Gustafsson",'Egeninsats &amp; Poäng'!F:F,"F3")</f>
        <v>0</v>
      </c>
      <c r="E49" s="68" t="str">
        <f aca="false">IFERROR(SUMIFS('Egeninsats &amp; Poäng'!H:H,'Egeninsats &amp; Poäng'!C:C,"Per Gustafsson",'Egeninsats &amp; Poäng'!F:F,"F3")/SUMIFS('Egeninsats &amp; Poäng'!G:G,'Egeninsats &amp; Poäng'!C:C,"Per Gustafsson",'Egeninsats &amp; Poäng'!F:F,"F3"),"")</f>
        <v/>
      </c>
      <c r="F49" s="68" t="str">
        <f aca="false">IFERROR(SUMIFS('Egeninsats &amp; Poäng'!I:I,'Egeninsats &amp; Poäng'!C:C,"Per Gustafsson",'Egeninsats &amp; Poäng'!F:F,"F3")/SUMIFS('Egeninsats &amp; Poäng'!G:G,'Egeninsats &amp; Poäng'!C:C,"Per Gustafsson",'Egeninsats &amp; Poäng'!F:F,"F3"),"")</f>
        <v/>
      </c>
      <c r="G49" s="68" t="n">
        <f aca="false">SUMIFS('Egeninsats &amp; Poäng'!J:J,'Egeninsats &amp; Poäng'!C:C,"Per Gustafsson",'Egeninsats &amp; Poäng'!F:F,"F3")</f>
        <v>0</v>
      </c>
      <c r="H49" s="69" t="str">
        <f aca="false">IFERROR(SUMIFS('Egeninsats &amp; Poäng'!K:K,'Egeninsats &amp; Poäng'!C:C,"Per Gustafsson",'Egeninsats &amp; Poäng'!F:F,"F3")/SUMIFS('Egeninsats &amp; Poäng'!G:G,'Egeninsats &amp; Poäng'!C:C,"Per Gustafsson",'Egeninsats &amp; Poäng'!F:F,"F3"),"")</f>
        <v/>
      </c>
      <c r="I49" s="70" t="str">
        <f aca="false">IFERROR(SUMIFS('Egeninsats &amp; Poäng'!L:L,'Egeninsats &amp; Poäng'!C:C,"Per Gustafsson",'Egeninsats &amp; Poäng'!F:F,"F3")/SUMIFS('Egeninsats &amp; Poäng'!G:G,'Egeninsats &amp; Poäng'!C:C,"Per Gustafsson",'Egeninsats &amp; Poäng'!F:F,"F3"),"")</f>
        <v/>
      </c>
      <c r="J49" s="34" t="n">
        <f aca="false">SUMIFS('Egeninsats &amp; Poäng'!M:M,'Egeninsats &amp; Poäng'!C:C,"Per Gustafsson",'Egeninsats &amp; Poäng'!F:F,"F3")</f>
        <v>0</v>
      </c>
      <c r="K49" s="71" t="n">
        <f aca="false">IFERROR(J49/'Equity Dashboard'!E8,"")</f>
        <v>0</v>
      </c>
    </row>
    <row r="50" customFormat="false" ht="19.5" hidden="false" customHeight="true" outlineLevel="0" collapsed="false">
      <c r="B50" s="23" t="s">
        <v>74</v>
      </c>
      <c r="C50" s="72" t="str">
        <f aca="false">Projektinställningar!C27</f>
        <v>Production Fas 1</v>
      </c>
      <c r="D50" s="73" t="n">
        <f aca="false">SUMIFS('Egeninsats &amp; Poäng'!G:G,'Egeninsats &amp; Poäng'!C:C,"Per Gustafsson",'Egeninsats &amp; Poäng'!F:F,"F4")</f>
        <v>40</v>
      </c>
      <c r="E50" s="73" t="n">
        <f aca="false">IFERROR(SUMIFS('Egeninsats &amp; Poäng'!H:H,'Egeninsats &amp; Poäng'!C:C,"Per Gustafsson",'Egeninsats &amp; Poäng'!F:F,"F4")/SUMIFS('Egeninsats &amp; Poäng'!G:G,'Egeninsats &amp; Poäng'!C:C,"Per Gustafsson",'Egeninsats &amp; Poäng'!F:F,"F4"),"")</f>
        <v>30</v>
      </c>
      <c r="F50" s="73" t="n">
        <f aca="false">IFERROR(SUMIFS('Egeninsats &amp; Poäng'!I:I,'Egeninsats &amp; Poäng'!C:C,"Per Gustafsson",'Egeninsats &amp; Poäng'!F:F,"F4")/SUMIFS('Egeninsats &amp; Poäng'!G:G,'Egeninsats &amp; Poäng'!C:C,"Per Gustafsson",'Egeninsats &amp; Poäng'!F:F,"F4"),"")</f>
        <v>62.5</v>
      </c>
      <c r="G50" s="73" t="n">
        <f aca="false">SUMIFS('Egeninsats &amp; Poäng'!J:J,'Egeninsats &amp; Poäng'!C:C,"Per Gustafsson",'Egeninsats &amp; Poäng'!F:F,"F4")</f>
        <v>52000</v>
      </c>
      <c r="H50" s="74" t="n">
        <f aca="false">IFERROR(SUMIFS('Egeninsats &amp; Poäng'!K:K,'Egeninsats &amp; Poäng'!C:C,"Per Gustafsson",'Egeninsats &amp; Poäng'!F:F,"F4")/SUMIFS('Egeninsats &amp; Poäng'!G:G,'Egeninsats &amp; Poäng'!C:C,"Per Gustafsson",'Egeninsats &amp; Poäng'!F:F,"F4"),"")</f>
        <v>0.25</v>
      </c>
      <c r="I50" s="75" t="n">
        <f aca="false">IFERROR(SUMIFS('Egeninsats &amp; Poäng'!L:L,'Egeninsats &amp; Poäng'!C:C,"Per Gustafsson",'Egeninsats &amp; Poäng'!F:F,"F4")/SUMIFS('Egeninsats &amp; Poäng'!G:G,'Egeninsats &amp; Poäng'!C:C,"Per Gustafsson",'Egeninsats &amp; Poäng'!F:F,"F4"),"")</f>
        <v>0.0375</v>
      </c>
      <c r="J50" s="76" t="n">
        <f aca="false">SUMIFS('Egeninsats &amp; Poäng'!M:M,'Egeninsats &amp; Poäng'!C:C,"Per Gustafsson",'Egeninsats &amp; Poäng'!F:F,"F4")</f>
        <v>600</v>
      </c>
      <c r="K50" s="77" t="n">
        <f aca="false">IFERROR(J50/'Equity Dashboard'!E8,"")</f>
        <v>0.470588235294118</v>
      </c>
    </row>
    <row r="51" customFormat="false" ht="19.5" hidden="false" customHeight="true" outlineLevel="0" collapsed="false">
      <c r="B51" s="18" t="s">
        <v>76</v>
      </c>
      <c r="C51" s="67" t="str">
        <f aca="false">Projektinställningar!C28</f>
        <v>Production Fas 2</v>
      </c>
      <c r="D51" s="68" t="n">
        <f aca="false">SUMIFS('Egeninsats &amp; Poäng'!G:G,'Egeninsats &amp; Poäng'!C:C,"Per Gustafsson",'Egeninsats &amp; Poäng'!F:F,"F5")</f>
        <v>0</v>
      </c>
      <c r="E51" s="68" t="str">
        <f aca="false">IFERROR(SUMIFS('Egeninsats &amp; Poäng'!H:H,'Egeninsats &amp; Poäng'!C:C,"Per Gustafsson",'Egeninsats &amp; Poäng'!F:F,"F5")/SUMIFS('Egeninsats &amp; Poäng'!G:G,'Egeninsats &amp; Poäng'!C:C,"Per Gustafsson",'Egeninsats &amp; Poäng'!F:F,"F5"),"")</f>
        <v/>
      </c>
      <c r="F51" s="68" t="str">
        <f aca="false">IFERROR(SUMIFS('Egeninsats &amp; Poäng'!I:I,'Egeninsats &amp; Poäng'!C:C,"Per Gustafsson",'Egeninsats &amp; Poäng'!F:F,"F5")/SUMIFS('Egeninsats &amp; Poäng'!G:G,'Egeninsats &amp; Poäng'!C:C,"Per Gustafsson",'Egeninsats &amp; Poäng'!F:F,"F5"),"")</f>
        <v/>
      </c>
      <c r="G51" s="68" t="n">
        <f aca="false">SUMIFS('Egeninsats &amp; Poäng'!J:J,'Egeninsats &amp; Poäng'!C:C,"Per Gustafsson",'Egeninsats &amp; Poäng'!F:F,"F5")</f>
        <v>0</v>
      </c>
      <c r="H51" s="69" t="str">
        <f aca="false">IFERROR(SUMIFS('Egeninsats &amp; Poäng'!K:K,'Egeninsats &amp; Poäng'!C:C,"Per Gustafsson",'Egeninsats &amp; Poäng'!F:F,"F5")/SUMIFS('Egeninsats &amp; Poäng'!G:G,'Egeninsats &amp; Poäng'!C:C,"Per Gustafsson",'Egeninsats &amp; Poäng'!F:F,"F5"),"")</f>
        <v/>
      </c>
      <c r="I51" s="70" t="str">
        <f aca="false">IFERROR(SUMIFS('Egeninsats &amp; Poäng'!L:L,'Egeninsats &amp; Poäng'!C:C,"Per Gustafsson",'Egeninsats &amp; Poäng'!F:F,"F5")/SUMIFS('Egeninsats &amp; Poäng'!G:G,'Egeninsats &amp; Poäng'!C:C,"Per Gustafsson",'Egeninsats &amp; Poäng'!F:F,"F5"),"")</f>
        <v/>
      </c>
      <c r="J51" s="34" t="n">
        <f aca="false">SUMIFS('Egeninsats &amp; Poäng'!M:M,'Egeninsats &amp; Poäng'!C:C,"Per Gustafsson",'Egeninsats &amp; Poäng'!F:F,"F5")</f>
        <v>0</v>
      </c>
      <c r="K51" s="71" t="n">
        <f aca="false">IFERROR(J51/'Equity Dashboard'!E8,"")</f>
        <v>0</v>
      </c>
    </row>
    <row r="52" customFormat="false" ht="19.5" hidden="false" customHeight="true" outlineLevel="0" collapsed="false">
      <c r="B52" s="23" t="s">
        <v>78</v>
      </c>
      <c r="C52" s="72" t="str">
        <f aca="false">Projektinställningar!C29</f>
        <v>Post-production</v>
      </c>
      <c r="D52" s="73" t="n">
        <f aca="false">SUMIFS('Egeninsats &amp; Poäng'!G:G,'Egeninsats &amp; Poäng'!C:C,"Per Gustafsson",'Egeninsats &amp; Poäng'!F:F,"F6")</f>
        <v>0</v>
      </c>
      <c r="E52" s="73" t="str">
        <f aca="false">IFERROR(SUMIFS('Egeninsats &amp; Poäng'!H:H,'Egeninsats &amp; Poäng'!C:C,"Per Gustafsson",'Egeninsats &amp; Poäng'!F:F,"F6")/SUMIFS('Egeninsats &amp; Poäng'!G:G,'Egeninsats &amp; Poäng'!C:C,"Per Gustafsson",'Egeninsats &amp; Poäng'!F:F,"F6"),"")</f>
        <v/>
      </c>
      <c r="F52" s="73" t="str">
        <f aca="false">IFERROR(SUMIFS('Egeninsats &amp; Poäng'!I:I,'Egeninsats &amp; Poäng'!C:C,"Per Gustafsson",'Egeninsats &amp; Poäng'!F:F,"F6")/SUMIFS('Egeninsats &amp; Poäng'!G:G,'Egeninsats &amp; Poäng'!C:C,"Per Gustafsson",'Egeninsats &amp; Poäng'!F:F,"F6"),"")</f>
        <v/>
      </c>
      <c r="G52" s="73" t="n">
        <f aca="false">SUMIFS('Egeninsats &amp; Poäng'!J:J,'Egeninsats &amp; Poäng'!C:C,"Per Gustafsson",'Egeninsats &amp; Poäng'!F:F,"F6")</f>
        <v>0</v>
      </c>
      <c r="H52" s="74" t="str">
        <f aca="false">IFERROR(SUMIFS('Egeninsats &amp; Poäng'!K:K,'Egeninsats &amp; Poäng'!C:C,"Per Gustafsson",'Egeninsats &amp; Poäng'!F:F,"F6")/SUMIFS('Egeninsats &amp; Poäng'!G:G,'Egeninsats &amp; Poäng'!C:C,"Per Gustafsson",'Egeninsats &amp; Poäng'!F:F,"F6"),"")</f>
        <v/>
      </c>
      <c r="I52" s="75" t="str">
        <f aca="false">IFERROR(SUMIFS('Egeninsats &amp; Poäng'!L:L,'Egeninsats &amp; Poäng'!C:C,"Per Gustafsson",'Egeninsats &amp; Poäng'!F:F,"F6")/SUMIFS('Egeninsats &amp; Poäng'!G:G,'Egeninsats &amp; Poäng'!C:C,"Per Gustafsson",'Egeninsats &amp; Poäng'!F:F,"F6"),"")</f>
        <v/>
      </c>
      <c r="J52" s="76" t="n">
        <f aca="false">SUMIFS('Egeninsats &amp; Poäng'!M:M,'Egeninsats &amp; Poäng'!C:C,"Per Gustafsson",'Egeninsats &amp; Poäng'!F:F,"F6")</f>
        <v>0</v>
      </c>
      <c r="K52" s="77" t="n">
        <f aca="false">IFERROR(J52/'Equity Dashboard'!E8,"")</f>
        <v>0</v>
      </c>
    </row>
    <row r="53" customFormat="false" ht="19.5" hidden="false" customHeight="true" outlineLevel="0" collapsed="false">
      <c r="B53" s="18" t="s">
        <v>80</v>
      </c>
      <c r="C53" s="67" t="str">
        <f aca="false">Projektinställningar!C30</f>
        <v>Promotion / Lansering</v>
      </c>
      <c r="D53" s="68" t="n">
        <f aca="false">SUMIFS('Egeninsats &amp; Poäng'!G:G,'Egeninsats &amp; Poäng'!C:C,"Per Gustafsson",'Egeninsats &amp; Poäng'!F:F,"F7")</f>
        <v>0</v>
      </c>
      <c r="E53" s="68" t="str">
        <f aca="false">IFERROR(SUMIFS('Egeninsats &amp; Poäng'!H:H,'Egeninsats &amp; Poäng'!C:C,"Per Gustafsson",'Egeninsats &amp; Poäng'!F:F,"F7")/SUMIFS('Egeninsats &amp; Poäng'!G:G,'Egeninsats &amp; Poäng'!C:C,"Per Gustafsson",'Egeninsats &amp; Poäng'!F:F,"F7"),"")</f>
        <v/>
      </c>
      <c r="F53" s="68" t="str">
        <f aca="false">IFERROR(SUMIFS('Egeninsats &amp; Poäng'!I:I,'Egeninsats &amp; Poäng'!C:C,"Per Gustafsson",'Egeninsats &amp; Poäng'!F:F,"F7")/SUMIFS('Egeninsats &amp; Poäng'!G:G,'Egeninsats &amp; Poäng'!C:C,"Per Gustafsson",'Egeninsats &amp; Poäng'!F:F,"F7"),"")</f>
        <v/>
      </c>
      <c r="G53" s="68" t="n">
        <f aca="false">SUMIFS('Egeninsats &amp; Poäng'!J:J,'Egeninsats &amp; Poäng'!C:C,"Per Gustafsson",'Egeninsats &amp; Poäng'!F:F,"F7")</f>
        <v>0</v>
      </c>
      <c r="H53" s="69" t="str">
        <f aca="false">IFERROR(SUMIFS('Egeninsats &amp; Poäng'!K:K,'Egeninsats &amp; Poäng'!C:C,"Per Gustafsson",'Egeninsats &amp; Poäng'!F:F,"F7")/SUMIFS('Egeninsats &amp; Poäng'!G:G,'Egeninsats &amp; Poäng'!C:C,"Per Gustafsson",'Egeninsats &amp; Poäng'!F:F,"F7"),"")</f>
        <v/>
      </c>
      <c r="I53" s="70" t="str">
        <f aca="false">IFERROR(SUMIFS('Egeninsats &amp; Poäng'!L:L,'Egeninsats &amp; Poäng'!C:C,"Per Gustafsson",'Egeninsats &amp; Poäng'!F:F,"F7")/SUMIFS('Egeninsats &amp; Poäng'!G:G,'Egeninsats &amp; Poäng'!C:C,"Per Gustafsson",'Egeninsats &amp; Poäng'!F:F,"F7"),"")</f>
        <v/>
      </c>
      <c r="J53" s="34" t="n">
        <f aca="false">SUMIFS('Egeninsats &amp; Poäng'!M:M,'Egeninsats &amp; Poäng'!C:C,"Per Gustafsson",'Egeninsats &amp; Poäng'!F:F,"F7")</f>
        <v>0</v>
      </c>
      <c r="K53" s="71" t="n">
        <f aca="false">IFERROR(J53/'Equity Dashboard'!E8,"")</f>
        <v>0</v>
      </c>
    </row>
    <row r="54" customFormat="false" ht="19.5" hidden="false" customHeight="true" outlineLevel="0" collapsed="false">
      <c r="B54" s="23" t="s">
        <v>82</v>
      </c>
      <c r="C54" s="72" t="str">
        <f aca="false">Projektinställningar!C31</f>
        <v>Övrigt</v>
      </c>
      <c r="D54" s="73" t="n">
        <f aca="false">SUMIFS('Egeninsats &amp; Poäng'!G:G,'Egeninsats &amp; Poäng'!C:C,"Per Gustafsson",'Egeninsats &amp; Poäng'!F:F,"F8")</f>
        <v>0</v>
      </c>
      <c r="E54" s="73" t="str">
        <f aca="false">IFERROR(SUMIFS('Egeninsats &amp; Poäng'!H:H,'Egeninsats &amp; Poäng'!C:C,"Per Gustafsson",'Egeninsats &amp; Poäng'!F:F,"F8")/SUMIFS('Egeninsats &amp; Poäng'!G:G,'Egeninsats &amp; Poäng'!C:C,"Per Gustafsson",'Egeninsats &amp; Poäng'!F:F,"F8"),"")</f>
        <v/>
      </c>
      <c r="F54" s="73" t="str">
        <f aca="false">IFERROR(SUMIFS('Egeninsats &amp; Poäng'!I:I,'Egeninsats &amp; Poäng'!C:C,"Per Gustafsson",'Egeninsats &amp; Poäng'!F:F,"F8")/SUMIFS('Egeninsats &amp; Poäng'!G:G,'Egeninsats &amp; Poäng'!C:C,"Per Gustafsson",'Egeninsats &amp; Poäng'!F:F,"F8"),"")</f>
        <v/>
      </c>
      <c r="G54" s="73" t="n">
        <f aca="false">SUMIFS('Egeninsats &amp; Poäng'!J:J,'Egeninsats &amp; Poäng'!C:C,"Per Gustafsson",'Egeninsats &amp; Poäng'!F:F,"F8")</f>
        <v>0</v>
      </c>
      <c r="H54" s="74" t="str">
        <f aca="false">IFERROR(SUMIFS('Egeninsats &amp; Poäng'!K:K,'Egeninsats &amp; Poäng'!C:C,"Per Gustafsson",'Egeninsats &amp; Poäng'!F:F,"F8")/SUMIFS('Egeninsats &amp; Poäng'!G:G,'Egeninsats &amp; Poäng'!C:C,"Per Gustafsson",'Egeninsats &amp; Poäng'!F:F,"F8"),"")</f>
        <v/>
      </c>
      <c r="I54" s="75" t="str">
        <f aca="false">IFERROR(SUMIFS('Egeninsats &amp; Poäng'!L:L,'Egeninsats &amp; Poäng'!C:C,"Per Gustafsson",'Egeninsats &amp; Poäng'!F:F,"F8")/SUMIFS('Egeninsats &amp; Poäng'!G:G,'Egeninsats &amp; Poäng'!C:C,"Per Gustafsson",'Egeninsats &amp; Poäng'!F:F,"F8"),"")</f>
        <v/>
      </c>
      <c r="J54" s="76" t="n">
        <f aca="false">SUMIFS('Egeninsats &amp; Poäng'!M:M,'Egeninsats &amp; Poäng'!C:C,"Per Gustafsson",'Egeninsats &amp; Poäng'!F:F,"F8")</f>
        <v>0</v>
      </c>
      <c r="K54" s="77" t="n">
        <f aca="false">IFERROR(J54/'Equity Dashboard'!E8,"")</f>
        <v>0</v>
      </c>
    </row>
    <row r="55" customFormat="false" ht="21.75" hidden="false" customHeight="true" outlineLevel="0" collapsed="false">
      <c r="B55" s="78" t="s">
        <v>136</v>
      </c>
      <c r="C55" s="78"/>
      <c r="D55" s="79" t="n">
        <f aca="false">SUM(D47:D54)</f>
        <v>60</v>
      </c>
      <c r="E55" s="80"/>
      <c r="F55" s="80"/>
      <c r="G55" s="79" t="n">
        <f aca="false">SUM(G47:G54)</f>
        <v>102000</v>
      </c>
      <c r="H55" s="80"/>
      <c r="I55" s="80"/>
      <c r="J55" s="81" t="n">
        <f aca="false">SUM(J47:J54)</f>
        <v>1275</v>
      </c>
      <c r="K55" s="80"/>
    </row>
    <row r="56" customFormat="false" ht="12" hidden="false" customHeight="true" outlineLevel="0" collapsed="false"/>
    <row r="57" customFormat="false" ht="19.5" hidden="false" customHeight="true" outlineLevel="0" collapsed="false">
      <c r="B57" s="63" t="s">
        <v>265</v>
      </c>
      <c r="C57" s="63"/>
      <c r="D57" s="63"/>
      <c r="E57" s="63"/>
      <c r="F57" s="63"/>
      <c r="G57" s="63"/>
      <c r="H57" s="63"/>
      <c r="I57" s="63"/>
      <c r="J57" s="63"/>
      <c r="K57" s="63"/>
    </row>
    <row r="58" customFormat="false" ht="27.75" hidden="false" customHeight="true" outlineLevel="0" collapsed="false">
      <c r="B58" s="82" t="s">
        <v>266</v>
      </c>
      <c r="C58" s="82"/>
      <c r="D58" s="82"/>
      <c r="E58" s="82"/>
      <c r="F58" s="82"/>
      <c r="G58" s="82"/>
      <c r="H58" s="82"/>
      <c r="I58" s="82"/>
      <c r="J58" s="82"/>
      <c r="K58" s="82"/>
    </row>
    <row r="59" customFormat="false" ht="30" hidden="false" customHeight="true" outlineLevel="0" collapsed="false">
      <c r="B59" s="55" t="s">
        <v>231</v>
      </c>
      <c r="C59" s="55"/>
      <c r="D59" s="55"/>
      <c r="E59" s="55" t="s">
        <v>267</v>
      </c>
      <c r="F59" s="55"/>
      <c r="G59" s="55"/>
      <c r="H59" s="55" t="s">
        <v>233</v>
      </c>
      <c r="I59" s="55"/>
      <c r="J59" s="55"/>
    </row>
    <row r="60" customFormat="false" ht="19.5" hidden="false" customHeight="true" outlineLevel="0" collapsed="false">
      <c r="B60" s="83" t="s">
        <v>268</v>
      </c>
      <c r="C60" s="83"/>
      <c r="D60" s="83"/>
      <c r="E60" s="83" t="s">
        <v>268</v>
      </c>
      <c r="F60" s="83"/>
      <c r="G60" s="83"/>
      <c r="H60" s="83" t="s">
        <v>268</v>
      </c>
      <c r="I60" s="83"/>
      <c r="J60" s="83"/>
    </row>
    <row r="61" customFormat="false" ht="36" hidden="false" customHeight="true" outlineLevel="0" collapsed="false">
      <c r="B61" s="83" t="n">
        <f aca="false">'Waterfall Simulering'!D22</f>
        <v>0</v>
      </c>
      <c r="C61" s="83"/>
      <c r="D61" s="83"/>
      <c r="E61" s="83" t="n">
        <f aca="false">'Waterfall Simulering'!E22</f>
        <v>0</v>
      </c>
      <c r="F61" s="83"/>
      <c r="G61" s="83"/>
      <c r="H61" s="83" t="n">
        <f aca="false">'Waterfall Simulering'!F22</f>
        <v>0</v>
      </c>
      <c r="I61" s="83"/>
      <c r="J61" s="83"/>
    </row>
    <row r="62" customFormat="false" ht="12" hidden="false" customHeight="true" outlineLevel="0" collapsed="false">
      <c r="B62" s="84" t="n">
        <f aca="false">'Equity Dashboard'!F8*'Waterfall Simulering'!D22</f>
        <v>0</v>
      </c>
      <c r="E62" s="84" t="n">
        <f aca="false">'Equity Dashboard'!F8*'Waterfall Simulering'!E22</f>
        <v>0</v>
      </c>
      <c r="H62" s="84" t="n">
        <f aca="false">'Equity Dashboard'!F8*'Waterfall Simulering'!F22</f>
        <v>0</v>
      </c>
    </row>
    <row r="63" customFormat="false" ht="15.75" hidden="false" customHeight="true" outlineLevel="0" collapsed="false">
      <c r="B63" s="85" t="s">
        <v>269</v>
      </c>
      <c r="C63" s="85"/>
      <c r="D63" s="85"/>
      <c r="E63" s="85"/>
      <c r="F63" s="85"/>
      <c r="G63" s="85"/>
      <c r="H63" s="85"/>
      <c r="I63" s="85"/>
      <c r="J63" s="85"/>
      <c r="K63" s="85"/>
    </row>
    <row r="66" customFormat="false" ht="4.5" hidden="false" customHeight="true" outlineLevel="0" collapsed="false"/>
    <row r="67" customFormat="false" ht="7.5" hidden="false" customHeight="true" outlineLevel="0" collapsed="false"/>
    <row r="68" customFormat="false" ht="24" hidden="false" customHeight="true" outlineLevel="0" collapsed="false">
      <c r="B68" s="60" t="n">
        <f aca="false">Projektinställningar!C5</f>
        <v>0</v>
      </c>
      <c r="C68" s="60"/>
      <c r="D68" s="60"/>
      <c r="E68" s="60"/>
      <c r="F68" s="60"/>
      <c r="G68" s="60"/>
      <c r="H68" s="60"/>
    </row>
    <row r="69" customFormat="false" ht="18" hidden="false" customHeight="true" outlineLevel="0" collapsed="false">
      <c r="B69" s="61" t="s">
        <v>253</v>
      </c>
      <c r="C69" s="61"/>
      <c r="D69" s="61"/>
      <c r="E69" s="61"/>
      <c r="F69" s="61"/>
      <c r="G69" s="61"/>
      <c r="H69" s="61"/>
    </row>
    <row r="70" customFormat="false" ht="6" hidden="false" customHeight="true" outlineLevel="0" collapsed="false">
      <c r="B70" s="4"/>
      <c r="C70" s="4"/>
      <c r="D70" s="4"/>
      <c r="E70" s="4"/>
      <c r="F70" s="4"/>
      <c r="G70" s="4"/>
      <c r="H70" s="4"/>
      <c r="I70" s="4"/>
      <c r="J70" s="4"/>
      <c r="K70" s="4"/>
    </row>
    <row r="71" customFormat="false" ht="9.75" hidden="false" customHeight="true" outlineLevel="0" collapsed="false"/>
    <row r="72" customFormat="false" ht="27.75" hidden="false" customHeight="true" outlineLevel="0" collapsed="false">
      <c r="B72" s="2" t="s">
        <v>112</v>
      </c>
      <c r="C72" s="2"/>
      <c r="D72" s="2"/>
      <c r="E72" s="2"/>
      <c r="F72" s="2"/>
    </row>
    <row r="73" customFormat="false" ht="18" hidden="false" customHeight="true" outlineLevel="0" collapsed="false">
      <c r="B73" s="62" t="s">
        <v>113</v>
      </c>
      <c r="C73" s="62"/>
      <c r="D73" s="62"/>
      <c r="E73" s="62"/>
      <c r="F73" s="62"/>
    </row>
    <row r="74" customFormat="false" ht="7.5" hidden="false" customHeight="true" outlineLevel="0" collapsed="false"/>
    <row r="75" customFormat="false" ht="18" hidden="false" customHeight="true" outlineLevel="0" collapsed="false">
      <c r="B75" s="63" t="s">
        <v>254</v>
      </c>
      <c r="C75" s="63"/>
      <c r="D75" s="63"/>
      <c r="E75" s="63" t="s">
        <v>255</v>
      </c>
      <c r="F75" s="63"/>
      <c r="G75" s="63"/>
      <c r="H75" s="63" t="s">
        <v>256</v>
      </c>
      <c r="I75" s="63"/>
      <c r="J75" s="63"/>
    </row>
    <row r="76" customFormat="false" ht="31.5" hidden="false" customHeight="true" outlineLevel="0" collapsed="false">
      <c r="B76" s="64" t="n">
        <f aca="false">'Equity Dashboard'!D9</f>
        <v>30000</v>
      </c>
      <c r="C76" s="64"/>
      <c r="D76" s="64"/>
      <c r="E76" s="65" t="n">
        <f aca="false">'Equity Dashboard'!E9</f>
        <v>450</v>
      </c>
      <c r="F76" s="65"/>
      <c r="G76" s="65"/>
      <c r="H76" s="66" t="n">
        <f aca="false">'Equity Dashboard'!F9</f>
        <v>0.0499306518723994</v>
      </c>
      <c r="I76" s="66"/>
      <c r="J76" s="66"/>
    </row>
    <row r="77" customFormat="false" ht="12" hidden="false" customHeight="true" outlineLevel="0" collapsed="false"/>
    <row r="78" customFormat="false" ht="19.5" hidden="false" customHeight="true" outlineLevel="0" collapsed="false">
      <c r="B78" s="63" t="s">
        <v>257</v>
      </c>
      <c r="C78" s="63"/>
      <c r="D78" s="63"/>
      <c r="E78" s="63"/>
      <c r="F78" s="63"/>
      <c r="G78" s="63"/>
      <c r="H78" s="63"/>
      <c r="I78" s="63"/>
      <c r="J78" s="63"/>
      <c r="K78" s="63"/>
    </row>
    <row r="79" customFormat="false" ht="30" hidden="false" customHeight="true" outlineLevel="0" collapsed="false">
      <c r="B79" s="49" t="s">
        <v>59</v>
      </c>
      <c r="C79" s="49" t="s">
        <v>60</v>
      </c>
      <c r="D79" s="49" t="s">
        <v>102</v>
      </c>
      <c r="E79" s="49" t="s">
        <v>258</v>
      </c>
      <c r="F79" s="49" t="s">
        <v>259</v>
      </c>
      <c r="G79" s="49" t="s">
        <v>260</v>
      </c>
      <c r="H79" s="49" t="s">
        <v>261</v>
      </c>
      <c r="I79" s="49" t="s">
        <v>262</v>
      </c>
      <c r="J79" s="49" t="s">
        <v>263</v>
      </c>
      <c r="K79" s="49" t="s">
        <v>264</v>
      </c>
    </row>
    <row r="80" customFormat="false" ht="19.5" hidden="false" customHeight="true" outlineLevel="0" collapsed="false">
      <c r="B80" s="18" t="s">
        <v>66</v>
      </c>
      <c r="C80" s="67" t="str">
        <f aca="false">Projektinställningar!C24</f>
        <v>Development</v>
      </c>
      <c r="D80" s="68" t="n">
        <f aca="false">SUMIFS('Egeninsats &amp; Poäng'!G:G,'Egeninsats &amp; Poäng'!C:C,"Erik Johansson",'Egeninsats &amp; Poäng'!F:F,"F1")</f>
        <v>0</v>
      </c>
      <c r="E80" s="68" t="str">
        <f aca="false">IFERROR(SUMIFS('Egeninsats &amp; Poäng'!H:H,'Egeninsats &amp; Poäng'!C:C,"Erik Johansson",'Egeninsats &amp; Poäng'!F:F,"F1")/SUMIFS('Egeninsats &amp; Poäng'!G:G,'Egeninsats &amp; Poäng'!C:C,"Erik Johansson",'Egeninsats &amp; Poäng'!F:F,"F1"),"")</f>
        <v/>
      </c>
      <c r="F80" s="68" t="str">
        <f aca="false">IFERROR(SUMIFS('Egeninsats &amp; Poäng'!I:I,'Egeninsats &amp; Poäng'!C:C,"Erik Johansson",'Egeninsats &amp; Poäng'!F:F,"F1")/SUMIFS('Egeninsats &amp; Poäng'!G:G,'Egeninsats &amp; Poäng'!C:C,"Erik Johansson",'Egeninsats &amp; Poäng'!F:F,"F1"),"")</f>
        <v/>
      </c>
      <c r="G80" s="68" t="n">
        <f aca="false">SUMIFS('Egeninsats &amp; Poäng'!J:J,'Egeninsats &amp; Poäng'!C:C,"Erik Johansson",'Egeninsats &amp; Poäng'!F:F,"F1")</f>
        <v>0</v>
      </c>
      <c r="H80" s="69" t="str">
        <f aca="false">IFERROR(SUMIFS('Egeninsats &amp; Poäng'!K:K,'Egeninsats &amp; Poäng'!C:C,"Erik Johansson",'Egeninsats &amp; Poäng'!F:F,"F1")/SUMIFS('Egeninsats &amp; Poäng'!G:G,'Egeninsats &amp; Poäng'!C:C,"Erik Johansson",'Egeninsats &amp; Poäng'!F:F,"F1"),"")</f>
        <v/>
      </c>
      <c r="I80" s="70" t="str">
        <f aca="false">IFERROR(SUMIFS('Egeninsats &amp; Poäng'!L:L,'Egeninsats &amp; Poäng'!C:C,"Erik Johansson",'Egeninsats &amp; Poäng'!F:F,"F1")/SUMIFS('Egeninsats &amp; Poäng'!G:G,'Egeninsats &amp; Poäng'!C:C,"Erik Johansson",'Egeninsats &amp; Poäng'!F:F,"F1"),"")</f>
        <v/>
      </c>
      <c r="J80" s="34" t="n">
        <f aca="false">SUMIFS('Egeninsats &amp; Poäng'!M:M,'Egeninsats &amp; Poäng'!C:C,"Erik Johansson",'Egeninsats &amp; Poäng'!F:F,"F1")</f>
        <v>0</v>
      </c>
      <c r="K80" s="71" t="n">
        <f aca="false">IFERROR(J80/'Equity Dashboard'!E9,"")</f>
        <v>0</v>
      </c>
    </row>
    <row r="81" customFormat="false" ht="19.5" hidden="false" customHeight="true" outlineLevel="0" collapsed="false">
      <c r="B81" s="23" t="s">
        <v>69</v>
      </c>
      <c r="C81" s="72" t="str">
        <f aca="false">Projektinställningar!C25</f>
        <v>Pre-production</v>
      </c>
      <c r="D81" s="73" t="n">
        <f aca="false">SUMIFS('Egeninsats &amp; Poäng'!G:G,'Egeninsats &amp; Poäng'!C:C,"Erik Johansson",'Egeninsats &amp; Poäng'!F:F,"F2")</f>
        <v>0</v>
      </c>
      <c r="E81" s="73" t="str">
        <f aca="false">IFERROR(SUMIFS('Egeninsats &amp; Poäng'!H:H,'Egeninsats &amp; Poäng'!C:C,"Erik Johansson",'Egeninsats &amp; Poäng'!F:F,"F2")/SUMIFS('Egeninsats &amp; Poäng'!G:G,'Egeninsats &amp; Poäng'!C:C,"Erik Johansson",'Egeninsats &amp; Poäng'!F:F,"F2"),"")</f>
        <v/>
      </c>
      <c r="F81" s="73" t="str">
        <f aca="false">IFERROR(SUMIFS('Egeninsats &amp; Poäng'!I:I,'Egeninsats &amp; Poäng'!C:C,"Erik Johansson",'Egeninsats &amp; Poäng'!F:F,"F2")/SUMIFS('Egeninsats &amp; Poäng'!G:G,'Egeninsats &amp; Poäng'!C:C,"Erik Johansson",'Egeninsats &amp; Poäng'!F:F,"F2"),"")</f>
        <v/>
      </c>
      <c r="G81" s="73" t="n">
        <f aca="false">SUMIFS('Egeninsats &amp; Poäng'!J:J,'Egeninsats &amp; Poäng'!C:C,"Erik Johansson",'Egeninsats &amp; Poäng'!F:F,"F2")</f>
        <v>0</v>
      </c>
      <c r="H81" s="74" t="str">
        <f aca="false">IFERROR(SUMIFS('Egeninsats &amp; Poäng'!K:K,'Egeninsats &amp; Poäng'!C:C,"Erik Johansson",'Egeninsats &amp; Poäng'!F:F,"F2")/SUMIFS('Egeninsats &amp; Poäng'!G:G,'Egeninsats &amp; Poäng'!C:C,"Erik Johansson",'Egeninsats &amp; Poäng'!F:F,"F2"),"")</f>
        <v/>
      </c>
      <c r="I81" s="75" t="str">
        <f aca="false">IFERROR(SUMIFS('Egeninsats &amp; Poäng'!L:L,'Egeninsats &amp; Poäng'!C:C,"Erik Johansson",'Egeninsats &amp; Poäng'!F:F,"F2")/SUMIFS('Egeninsats &amp; Poäng'!G:G,'Egeninsats &amp; Poäng'!C:C,"Erik Johansson",'Egeninsats &amp; Poäng'!F:F,"F2"),"")</f>
        <v/>
      </c>
      <c r="J81" s="76" t="n">
        <f aca="false">SUMIFS('Egeninsats &amp; Poäng'!M:M,'Egeninsats &amp; Poäng'!C:C,"Erik Johansson",'Egeninsats &amp; Poäng'!F:F,"F2")</f>
        <v>0</v>
      </c>
      <c r="K81" s="77" t="n">
        <f aca="false">IFERROR(J81/'Equity Dashboard'!E9,"")</f>
        <v>0</v>
      </c>
    </row>
    <row r="82" customFormat="false" ht="19.5" hidden="false" customHeight="true" outlineLevel="0" collapsed="false">
      <c r="B82" s="18" t="s">
        <v>71</v>
      </c>
      <c r="C82" s="67" t="str">
        <f aca="false">Projektinställningar!C26</f>
        <v>Pilot / Testinsp.</v>
      </c>
      <c r="D82" s="68" t="n">
        <f aca="false">SUMIFS('Egeninsats &amp; Poäng'!G:G,'Egeninsats &amp; Poäng'!C:C,"Erik Johansson",'Egeninsats &amp; Poäng'!F:F,"F3")</f>
        <v>0</v>
      </c>
      <c r="E82" s="68" t="str">
        <f aca="false">IFERROR(SUMIFS('Egeninsats &amp; Poäng'!H:H,'Egeninsats &amp; Poäng'!C:C,"Erik Johansson",'Egeninsats &amp; Poäng'!F:F,"F3")/SUMIFS('Egeninsats &amp; Poäng'!G:G,'Egeninsats &amp; Poäng'!C:C,"Erik Johansson",'Egeninsats &amp; Poäng'!F:F,"F3"),"")</f>
        <v/>
      </c>
      <c r="F82" s="68" t="str">
        <f aca="false">IFERROR(SUMIFS('Egeninsats &amp; Poäng'!I:I,'Egeninsats &amp; Poäng'!C:C,"Erik Johansson",'Egeninsats &amp; Poäng'!F:F,"F3")/SUMIFS('Egeninsats &amp; Poäng'!G:G,'Egeninsats &amp; Poäng'!C:C,"Erik Johansson",'Egeninsats &amp; Poäng'!F:F,"F3"),"")</f>
        <v/>
      </c>
      <c r="G82" s="68" t="n">
        <f aca="false">SUMIFS('Egeninsats &amp; Poäng'!J:J,'Egeninsats &amp; Poäng'!C:C,"Erik Johansson",'Egeninsats &amp; Poäng'!F:F,"F3")</f>
        <v>0</v>
      </c>
      <c r="H82" s="69" t="str">
        <f aca="false">IFERROR(SUMIFS('Egeninsats &amp; Poäng'!K:K,'Egeninsats &amp; Poäng'!C:C,"Erik Johansson",'Egeninsats &amp; Poäng'!F:F,"F3")/SUMIFS('Egeninsats &amp; Poäng'!G:G,'Egeninsats &amp; Poäng'!C:C,"Erik Johansson",'Egeninsats &amp; Poäng'!F:F,"F3"),"")</f>
        <v/>
      </c>
      <c r="I82" s="70" t="str">
        <f aca="false">IFERROR(SUMIFS('Egeninsats &amp; Poäng'!L:L,'Egeninsats &amp; Poäng'!C:C,"Erik Johansson",'Egeninsats &amp; Poäng'!F:F,"F3")/SUMIFS('Egeninsats &amp; Poäng'!G:G,'Egeninsats &amp; Poäng'!C:C,"Erik Johansson",'Egeninsats &amp; Poäng'!F:F,"F3"),"")</f>
        <v/>
      </c>
      <c r="J82" s="34" t="n">
        <f aca="false">SUMIFS('Egeninsats &amp; Poäng'!M:M,'Egeninsats &amp; Poäng'!C:C,"Erik Johansson",'Egeninsats &amp; Poäng'!F:F,"F3")</f>
        <v>0</v>
      </c>
      <c r="K82" s="71" t="n">
        <f aca="false">IFERROR(J82/'Equity Dashboard'!E9,"")</f>
        <v>0</v>
      </c>
    </row>
    <row r="83" customFormat="false" ht="19.5" hidden="false" customHeight="true" outlineLevel="0" collapsed="false">
      <c r="B83" s="23" t="s">
        <v>74</v>
      </c>
      <c r="C83" s="72" t="str">
        <f aca="false">Projektinställningar!C27</f>
        <v>Production Fas 1</v>
      </c>
      <c r="D83" s="73" t="n">
        <f aca="false">SUMIFS('Egeninsats &amp; Poäng'!G:G,'Egeninsats &amp; Poäng'!C:C,"Erik Johansson",'Egeninsats &amp; Poäng'!F:F,"F4")</f>
        <v>30</v>
      </c>
      <c r="E83" s="73" t="n">
        <f aca="false">IFERROR(SUMIFS('Egeninsats &amp; Poäng'!H:H,'Egeninsats &amp; Poäng'!C:C,"Erik Johansson",'Egeninsats &amp; Poäng'!F:F,"F4")/SUMIFS('Egeninsats &amp; Poäng'!G:G,'Egeninsats &amp; Poäng'!C:C,"Erik Johansson",'Egeninsats &amp; Poäng'!F:F,"F4"),"")</f>
        <v>33.3333333333333</v>
      </c>
      <c r="F83" s="73" t="n">
        <f aca="false">IFERROR(SUMIFS('Egeninsats &amp; Poäng'!I:I,'Egeninsats &amp; Poäng'!C:C,"Erik Johansson",'Egeninsats &amp; Poäng'!F:F,"F4")/SUMIFS('Egeninsats &amp; Poäng'!G:G,'Egeninsats &amp; Poäng'!C:C,"Erik Johansson",'Egeninsats &amp; Poäng'!F:F,"F4"),"")</f>
        <v>66.6666666666667</v>
      </c>
      <c r="G83" s="73" t="n">
        <f aca="false">SUMIFS('Egeninsats &amp; Poäng'!J:J,'Egeninsats &amp; Poäng'!C:C,"Erik Johansson",'Egeninsats &amp; Poäng'!F:F,"F4")</f>
        <v>30000</v>
      </c>
      <c r="H83" s="74" t="n">
        <f aca="false">IFERROR(SUMIFS('Egeninsats &amp; Poäng'!K:K,'Egeninsats &amp; Poäng'!C:C,"Erik Johansson",'Egeninsats &amp; Poäng'!F:F,"F4")/SUMIFS('Egeninsats &amp; Poäng'!G:G,'Egeninsats &amp; Poäng'!C:C,"Erik Johansson",'Egeninsats &amp; Poäng'!F:F,"F4"),"")</f>
        <v>0.333333333333333</v>
      </c>
      <c r="I83" s="75" t="n">
        <f aca="false">IFERROR(SUMIFS('Egeninsats &amp; Poäng'!L:L,'Egeninsats &amp; Poäng'!C:C,"Erik Johansson",'Egeninsats &amp; Poäng'!F:F,"F4")/SUMIFS('Egeninsats &amp; Poäng'!G:G,'Egeninsats &amp; Poäng'!C:C,"Erik Johansson",'Egeninsats &amp; Poäng'!F:F,"F4"),"")</f>
        <v>0.05</v>
      </c>
      <c r="J83" s="76" t="n">
        <f aca="false">SUMIFS('Egeninsats &amp; Poäng'!M:M,'Egeninsats &amp; Poäng'!C:C,"Erik Johansson",'Egeninsats &amp; Poäng'!F:F,"F4")</f>
        <v>450</v>
      </c>
      <c r="K83" s="77" t="n">
        <f aca="false">IFERROR(J83/'Equity Dashboard'!E9,"")</f>
        <v>1</v>
      </c>
    </row>
    <row r="84" customFormat="false" ht="19.5" hidden="false" customHeight="true" outlineLevel="0" collapsed="false">
      <c r="B84" s="18" t="s">
        <v>76</v>
      </c>
      <c r="C84" s="67" t="str">
        <f aca="false">Projektinställningar!C28</f>
        <v>Production Fas 2</v>
      </c>
      <c r="D84" s="68" t="n">
        <f aca="false">SUMIFS('Egeninsats &amp; Poäng'!G:G,'Egeninsats &amp; Poäng'!C:C,"Erik Johansson",'Egeninsats &amp; Poäng'!F:F,"F5")</f>
        <v>0</v>
      </c>
      <c r="E84" s="68" t="str">
        <f aca="false">IFERROR(SUMIFS('Egeninsats &amp; Poäng'!H:H,'Egeninsats &amp; Poäng'!C:C,"Erik Johansson",'Egeninsats &amp; Poäng'!F:F,"F5")/SUMIFS('Egeninsats &amp; Poäng'!G:G,'Egeninsats &amp; Poäng'!C:C,"Erik Johansson",'Egeninsats &amp; Poäng'!F:F,"F5"),"")</f>
        <v/>
      </c>
      <c r="F84" s="68" t="str">
        <f aca="false">IFERROR(SUMIFS('Egeninsats &amp; Poäng'!I:I,'Egeninsats &amp; Poäng'!C:C,"Erik Johansson",'Egeninsats &amp; Poäng'!F:F,"F5")/SUMIFS('Egeninsats &amp; Poäng'!G:G,'Egeninsats &amp; Poäng'!C:C,"Erik Johansson",'Egeninsats &amp; Poäng'!F:F,"F5"),"")</f>
        <v/>
      </c>
      <c r="G84" s="68" t="n">
        <f aca="false">SUMIFS('Egeninsats &amp; Poäng'!J:J,'Egeninsats &amp; Poäng'!C:C,"Erik Johansson",'Egeninsats &amp; Poäng'!F:F,"F5")</f>
        <v>0</v>
      </c>
      <c r="H84" s="69" t="str">
        <f aca="false">IFERROR(SUMIFS('Egeninsats &amp; Poäng'!K:K,'Egeninsats &amp; Poäng'!C:C,"Erik Johansson",'Egeninsats &amp; Poäng'!F:F,"F5")/SUMIFS('Egeninsats &amp; Poäng'!G:G,'Egeninsats &amp; Poäng'!C:C,"Erik Johansson",'Egeninsats &amp; Poäng'!F:F,"F5"),"")</f>
        <v/>
      </c>
      <c r="I84" s="70" t="str">
        <f aca="false">IFERROR(SUMIFS('Egeninsats &amp; Poäng'!L:L,'Egeninsats &amp; Poäng'!C:C,"Erik Johansson",'Egeninsats &amp; Poäng'!F:F,"F5")/SUMIFS('Egeninsats &amp; Poäng'!G:G,'Egeninsats &amp; Poäng'!C:C,"Erik Johansson",'Egeninsats &amp; Poäng'!F:F,"F5"),"")</f>
        <v/>
      </c>
      <c r="J84" s="34" t="n">
        <f aca="false">SUMIFS('Egeninsats &amp; Poäng'!M:M,'Egeninsats &amp; Poäng'!C:C,"Erik Johansson",'Egeninsats &amp; Poäng'!F:F,"F5")</f>
        <v>0</v>
      </c>
      <c r="K84" s="71" t="n">
        <f aca="false">IFERROR(J84/'Equity Dashboard'!E9,"")</f>
        <v>0</v>
      </c>
    </row>
    <row r="85" customFormat="false" ht="19.5" hidden="false" customHeight="true" outlineLevel="0" collapsed="false">
      <c r="B85" s="23" t="s">
        <v>78</v>
      </c>
      <c r="C85" s="72" t="str">
        <f aca="false">Projektinställningar!C29</f>
        <v>Post-production</v>
      </c>
      <c r="D85" s="73" t="n">
        <f aca="false">SUMIFS('Egeninsats &amp; Poäng'!G:G,'Egeninsats &amp; Poäng'!C:C,"Erik Johansson",'Egeninsats &amp; Poäng'!F:F,"F6")</f>
        <v>0</v>
      </c>
      <c r="E85" s="73" t="str">
        <f aca="false">IFERROR(SUMIFS('Egeninsats &amp; Poäng'!H:H,'Egeninsats &amp; Poäng'!C:C,"Erik Johansson",'Egeninsats &amp; Poäng'!F:F,"F6")/SUMIFS('Egeninsats &amp; Poäng'!G:G,'Egeninsats &amp; Poäng'!C:C,"Erik Johansson",'Egeninsats &amp; Poäng'!F:F,"F6"),"")</f>
        <v/>
      </c>
      <c r="F85" s="73" t="str">
        <f aca="false">IFERROR(SUMIFS('Egeninsats &amp; Poäng'!I:I,'Egeninsats &amp; Poäng'!C:C,"Erik Johansson",'Egeninsats &amp; Poäng'!F:F,"F6")/SUMIFS('Egeninsats &amp; Poäng'!G:G,'Egeninsats &amp; Poäng'!C:C,"Erik Johansson",'Egeninsats &amp; Poäng'!F:F,"F6"),"")</f>
        <v/>
      </c>
      <c r="G85" s="73" t="n">
        <f aca="false">SUMIFS('Egeninsats &amp; Poäng'!J:J,'Egeninsats &amp; Poäng'!C:C,"Erik Johansson",'Egeninsats &amp; Poäng'!F:F,"F6")</f>
        <v>0</v>
      </c>
      <c r="H85" s="74" t="str">
        <f aca="false">IFERROR(SUMIFS('Egeninsats &amp; Poäng'!K:K,'Egeninsats &amp; Poäng'!C:C,"Erik Johansson",'Egeninsats &amp; Poäng'!F:F,"F6")/SUMIFS('Egeninsats &amp; Poäng'!G:G,'Egeninsats &amp; Poäng'!C:C,"Erik Johansson",'Egeninsats &amp; Poäng'!F:F,"F6"),"")</f>
        <v/>
      </c>
      <c r="I85" s="75" t="str">
        <f aca="false">IFERROR(SUMIFS('Egeninsats &amp; Poäng'!L:L,'Egeninsats &amp; Poäng'!C:C,"Erik Johansson",'Egeninsats &amp; Poäng'!F:F,"F6")/SUMIFS('Egeninsats &amp; Poäng'!G:G,'Egeninsats &amp; Poäng'!C:C,"Erik Johansson",'Egeninsats &amp; Poäng'!F:F,"F6"),"")</f>
        <v/>
      </c>
      <c r="J85" s="76" t="n">
        <f aca="false">SUMIFS('Egeninsats &amp; Poäng'!M:M,'Egeninsats &amp; Poäng'!C:C,"Erik Johansson",'Egeninsats &amp; Poäng'!F:F,"F6")</f>
        <v>0</v>
      </c>
      <c r="K85" s="77" t="n">
        <f aca="false">IFERROR(J85/'Equity Dashboard'!E9,"")</f>
        <v>0</v>
      </c>
    </row>
    <row r="86" customFormat="false" ht="19.5" hidden="false" customHeight="true" outlineLevel="0" collapsed="false">
      <c r="B86" s="18" t="s">
        <v>80</v>
      </c>
      <c r="C86" s="67" t="str">
        <f aca="false">Projektinställningar!C30</f>
        <v>Promotion / Lansering</v>
      </c>
      <c r="D86" s="68" t="n">
        <f aca="false">SUMIFS('Egeninsats &amp; Poäng'!G:G,'Egeninsats &amp; Poäng'!C:C,"Erik Johansson",'Egeninsats &amp; Poäng'!F:F,"F7")</f>
        <v>0</v>
      </c>
      <c r="E86" s="68" t="str">
        <f aca="false">IFERROR(SUMIFS('Egeninsats &amp; Poäng'!H:H,'Egeninsats &amp; Poäng'!C:C,"Erik Johansson",'Egeninsats &amp; Poäng'!F:F,"F7")/SUMIFS('Egeninsats &amp; Poäng'!G:G,'Egeninsats &amp; Poäng'!C:C,"Erik Johansson",'Egeninsats &amp; Poäng'!F:F,"F7"),"")</f>
        <v/>
      </c>
      <c r="F86" s="68" t="str">
        <f aca="false">IFERROR(SUMIFS('Egeninsats &amp; Poäng'!I:I,'Egeninsats &amp; Poäng'!C:C,"Erik Johansson",'Egeninsats &amp; Poäng'!F:F,"F7")/SUMIFS('Egeninsats &amp; Poäng'!G:G,'Egeninsats &amp; Poäng'!C:C,"Erik Johansson",'Egeninsats &amp; Poäng'!F:F,"F7"),"")</f>
        <v/>
      </c>
      <c r="G86" s="68" t="n">
        <f aca="false">SUMIFS('Egeninsats &amp; Poäng'!J:J,'Egeninsats &amp; Poäng'!C:C,"Erik Johansson",'Egeninsats &amp; Poäng'!F:F,"F7")</f>
        <v>0</v>
      </c>
      <c r="H86" s="69" t="str">
        <f aca="false">IFERROR(SUMIFS('Egeninsats &amp; Poäng'!K:K,'Egeninsats &amp; Poäng'!C:C,"Erik Johansson",'Egeninsats &amp; Poäng'!F:F,"F7")/SUMIFS('Egeninsats &amp; Poäng'!G:G,'Egeninsats &amp; Poäng'!C:C,"Erik Johansson",'Egeninsats &amp; Poäng'!F:F,"F7"),"")</f>
        <v/>
      </c>
      <c r="I86" s="70" t="str">
        <f aca="false">IFERROR(SUMIFS('Egeninsats &amp; Poäng'!L:L,'Egeninsats &amp; Poäng'!C:C,"Erik Johansson",'Egeninsats &amp; Poäng'!F:F,"F7")/SUMIFS('Egeninsats &amp; Poäng'!G:G,'Egeninsats &amp; Poäng'!C:C,"Erik Johansson",'Egeninsats &amp; Poäng'!F:F,"F7"),"")</f>
        <v/>
      </c>
      <c r="J86" s="34" t="n">
        <f aca="false">SUMIFS('Egeninsats &amp; Poäng'!M:M,'Egeninsats &amp; Poäng'!C:C,"Erik Johansson",'Egeninsats &amp; Poäng'!F:F,"F7")</f>
        <v>0</v>
      </c>
      <c r="K86" s="71" t="n">
        <f aca="false">IFERROR(J86/'Equity Dashboard'!E9,"")</f>
        <v>0</v>
      </c>
    </row>
    <row r="87" customFormat="false" ht="19.5" hidden="false" customHeight="true" outlineLevel="0" collapsed="false">
      <c r="B87" s="23" t="s">
        <v>82</v>
      </c>
      <c r="C87" s="72" t="str">
        <f aca="false">Projektinställningar!C31</f>
        <v>Övrigt</v>
      </c>
      <c r="D87" s="73" t="n">
        <f aca="false">SUMIFS('Egeninsats &amp; Poäng'!G:G,'Egeninsats &amp; Poäng'!C:C,"Erik Johansson",'Egeninsats &amp; Poäng'!F:F,"F8")</f>
        <v>0</v>
      </c>
      <c r="E87" s="73" t="str">
        <f aca="false">IFERROR(SUMIFS('Egeninsats &amp; Poäng'!H:H,'Egeninsats &amp; Poäng'!C:C,"Erik Johansson",'Egeninsats &amp; Poäng'!F:F,"F8")/SUMIFS('Egeninsats &amp; Poäng'!G:G,'Egeninsats &amp; Poäng'!C:C,"Erik Johansson",'Egeninsats &amp; Poäng'!F:F,"F8"),"")</f>
        <v/>
      </c>
      <c r="F87" s="73" t="str">
        <f aca="false">IFERROR(SUMIFS('Egeninsats &amp; Poäng'!I:I,'Egeninsats &amp; Poäng'!C:C,"Erik Johansson",'Egeninsats &amp; Poäng'!F:F,"F8")/SUMIFS('Egeninsats &amp; Poäng'!G:G,'Egeninsats &amp; Poäng'!C:C,"Erik Johansson",'Egeninsats &amp; Poäng'!F:F,"F8"),"")</f>
        <v/>
      </c>
      <c r="G87" s="73" t="n">
        <f aca="false">SUMIFS('Egeninsats &amp; Poäng'!J:J,'Egeninsats &amp; Poäng'!C:C,"Erik Johansson",'Egeninsats &amp; Poäng'!F:F,"F8")</f>
        <v>0</v>
      </c>
      <c r="H87" s="74" t="str">
        <f aca="false">IFERROR(SUMIFS('Egeninsats &amp; Poäng'!K:K,'Egeninsats &amp; Poäng'!C:C,"Erik Johansson",'Egeninsats &amp; Poäng'!F:F,"F8")/SUMIFS('Egeninsats &amp; Poäng'!G:G,'Egeninsats &amp; Poäng'!C:C,"Erik Johansson",'Egeninsats &amp; Poäng'!F:F,"F8"),"")</f>
        <v/>
      </c>
      <c r="I87" s="75" t="str">
        <f aca="false">IFERROR(SUMIFS('Egeninsats &amp; Poäng'!L:L,'Egeninsats &amp; Poäng'!C:C,"Erik Johansson",'Egeninsats &amp; Poäng'!F:F,"F8")/SUMIFS('Egeninsats &amp; Poäng'!G:G,'Egeninsats &amp; Poäng'!C:C,"Erik Johansson",'Egeninsats &amp; Poäng'!F:F,"F8"),"")</f>
        <v/>
      </c>
      <c r="J87" s="76" t="n">
        <f aca="false">SUMIFS('Egeninsats &amp; Poäng'!M:M,'Egeninsats &amp; Poäng'!C:C,"Erik Johansson",'Egeninsats &amp; Poäng'!F:F,"F8")</f>
        <v>0</v>
      </c>
      <c r="K87" s="77" t="n">
        <f aca="false">IFERROR(J87/'Equity Dashboard'!E9,"")</f>
        <v>0</v>
      </c>
    </row>
    <row r="88" customFormat="false" ht="21.75" hidden="false" customHeight="true" outlineLevel="0" collapsed="false">
      <c r="B88" s="78" t="s">
        <v>136</v>
      </c>
      <c r="C88" s="78"/>
      <c r="D88" s="79" t="n">
        <f aca="false">SUM(D80:D87)</f>
        <v>30</v>
      </c>
      <c r="E88" s="80"/>
      <c r="F88" s="80"/>
      <c r="G88" s="79" t="n">
        <f aca="false">SUM(G80:G87)</f>
        <v>30000</v>
      </c>
      <c r="H88" s="80"/>
      <c r="I88" s="80"/>
      <c r="J88" s="81" t="n">
        <f aca="false">SUM(J80:J87)</f>
        <v>450</v>
      </c>
      <c r="K88" s="80"/>
    </row>
    <row r="89" customFormat="false" ht="12" hidden="false" customHeight="true" outlineLevel="0" collapsed="false"/>
    <row r="90" customFormat="false" ht="19.5" hidden="false" customHeight="true" outlineLevel="0" collapsed="false">
      <c r="B90" s="63" t="s">
        <v>265</v>
      </c>
      <c r="C90" s="63"/>
      <c r="D90" s="63"/>
      <c r="E90" s="63"/>
      <c r="F90" s="63"/>
      <c r="G90" s="63"/>
      <c r="H90" s="63"/>
      <c r="I90" s="63"/>
      <c r="J90" s="63"/>
      <c r="K90" s="63"/>
    </row>
    <row r="91" customFormat="false" ht="27.75" hidden="false" customHeight="true" outlineLevel="0" collapsed="false">
      <c r="B91" s="82" t="s">
        <v>266</v>
      </c>
      <c r="C91" s="82"/>
      <c r="D91" s="82"/>
      <c r="E91" s="82"/>
      <c r="F91" s="82"/>
      <c r="G91" s="82"/>
      <c r="H91" s="82"/>
      <c r="I91" s="82"/>
      <c r="J91" s="82"/>
      <c r="K91" s="82"/>
    </row>
    <row r="92" customFormat="false" ht="30" hidden="false" customHeight="true" outlineLevel="0" collapsed="false">
      <c r="B92" s="55" t="s">
        <v>231</v>
      </c>
      <c r="C92" s="55"/>
      <c r="D92" s="55"/>
      <c r="E92" s="55" t="s">
        <v>267</v>
      </c>
      <c r="F92" s="55"/>
      <c r="G92" s="55"/>
      <c r="H92" s="55" t="s">
        <v>233</v>
      </c>
      <c r="I92" s="55"/>
      <c r="J92" s="55"/>
    </row>
    <row r="93" customFormat="false" ht="19.5" hidden="false" customHeight="true" outlineLevel="0" collapsed="false">
      <c r="B93" s="83" t="s">
        <v>268</v>
      </c>
      <c r="C93" s="83"/>
      <c r="D93" s="83"/>
      <c r="E93" s="83" t="s">
        <v>268</v>
      </c>
      <c r="F93" s="83"/>
      <c r="G93" s="83"/>
      <c r="H93" s="83" t="s">
        <v>268</v>
      </c>
      <c r="I93" s="83"/>
      <c r="J93" s="83"/>
    </row>
    <row r="94" customFormat="false" ht="36" hidden="false" customHeight="true" outlineLevel="0" collapsed="false">
      <c r="B94" s="83" t="n">
        <f aca="false">'Waterfall Simulering'!D22</f>
        <v>0</v>
      </c>
      <c r="C94" s="83"/>
      <c r="D94" s="83"/>
      <c r="E94" s="83" t="n">
        <f aca="false">'Waterfall Simulering'!E22</f>
        <v>0</v>
      </c>
      <c r="F94" s="83"/>
      <c r="G94" s="83"/>
      <c r="H94" s="83" t="n">
        <f aca="false">'Waterfall Simulering'!F22</f>
        <v>0</v>
      </c>
      <c r="I94" s="83"/>
      <c r="J94" s="83"/>
    </row>
    <row r="95" customFormat="false" ht="12" hidden="false" customHeight="true" outlineLevel="0" collapsed="false">
      <c r="B95" s="84" t="n">
        <f aca="false">'Equity Dashboard'!F9*'Waterfall Simulering'!D22</f>
        <v>0</v>
      </c>
      <c r="E95" s="84" t="n">
        <f aca="false">'Equity Dashboard'!F9*'Waterfall Simulering'!E22</f>
        <v>0</v>
      </c>
      <c r="H95" s="84" t="n">
        <f aca="false">'Equity Dashboard'!F9*'Waterfall Simulering'!F22</f>
        <v>0</v>
      </c>
    </row>
    <row r="96" customFormat="false" ht="15.75" hidden="false" customHeight="true" outlineLevel="0" collapsed="false">
      <c r="B96" s="85" t="s">
        <v>269</v>
      </c>
      <c r="C96" s="85"/>
      <c r="D96" s="85"/>
      <c r="E96" s="85"/>
      <c r="F96" s="85"/>
      <c r="G96" s="85"/>
      <c r="H96" s="85"/>
      <c r="I96" s="85"/>
      <c r="J96" s="85"/>
      <c r="K96" s="85"/>
    </row>
    <row r="99" customFormat="false" ht="4.5" hidden="false" customHeight="true" outlineLevel="0" collapsed="false"/>
    <row r="100" customFormat="false" ht="7.5" hidden="false" customHeight="true" outlineLevel="0" collapsed="false"/>
    <row r="101" customFormat="false" ht="24" hidden="false" customHeight="true" outlineLevel="0" collapsed="false">
      <c r="B101" s="60" t="n">
        <f aca="false">Projektinställningar!C5</f>
        <v>0</v>
      </c>
      <c r="C101" s="60"/>
      <c r="D101" s="60"/>
      <c r="E101" s="60"/>
      <c r="F101" s="60"/>
      <c r="G101" s="60"/>
      <c r="H101" s="60"/>
    </row>
    <row r="102" customFormat="false" ht="18" hidden="false" customHeight="true" outlineLevel="0" collapsed="false">
      <c r="B102" s="61" t="s">
        <v>253</v>
      </c>
      <c r="C102" s="61"/>
      <c r="D102" s="61"/>
      <c r="E102" s="61"/>
      <c r="F102" s="61"/>
      <c r="G102" s="61"/>
      <c r="H102" s="61"/>
    </row>
    <row r="103" customFormat="false" ht="6" hidden="false" customHeight="true" outlineLevel="0" collapsed="false">
      <c r="B103" s="4"/>
      <c r="C103" s="4"/>
      <c r="D103" s="4"/>
      <c r="E103" s="4"/>
      <c r="F103" s="4"/>
      <c r="G103" s="4"/>
      <c r="H103" s="4"/>
      <c r="I103" s="4"/>
      <c r="J103" s="4"/>
      <c r="K103" s="4"/>
    </row>
    <row r="104" customFormat="false" ht="9.75" hidden="false" customHeight="true" outlineLevel="0" collapsed="false"/>
    <row r="105" customFormat="false" ht="27.75" hidden="false" customHeight="true" outlineLevel="0" collapsed="false">
      <c r="B105" s="2" t="s">
        <v>114</v>
      </c>
      <c r="C105" s="2"/>
      <c r="D105" s="2"/>
      <c r="E105" s="2"/>
      <c r="F105" s="2"/>
    </row>
    <row r="106" customFormat="false" ht="18" hidden="false" customHeight="true" outlineLevel="0" collapsed="false">
      <c r="B106" s="62" t="s">
        <v>115</v>
      </c>
      <c r="C106" s="62"/>
      <c r="D106" s="62"/>
      <c r="E106" s="62"/>
      <c r="F106" s="62"/>
    </row>
    <row r="107" customFormat="false" ht="7.5" hidden="false" customHeight="true" outlineLevel="0" collapsed="false"/>
    <row r="108" customFormat="false" ht="18" hidden="false" customHeight="true" outlineLevel="0" collapsed="false">
      <c r="B108" s="63" t="s">
        <v>254</v>
      </c>
      <c r="C108" s="63"/>
      <c r="D108" s="63"/>
      <c r="E108" s="63" t="s">
        <v>255</v>
      </c>
      <c r="F108" s="63"/>
      <c r="G108" s="63"/>
      <c r="H108" s="63" t="s">
        <v>256</v>
      </c>
      <c r="I108" s="63"/>
      <c r="J108" s="63"/>
    </row>
    <row r="109" customFormat="false" ht="31.5" hidden="false" customHeight="true" outlineLevel="0" collapsed="false">
      <c r="B109" s="64" t="n">
        <f aca="false">'Equity Dashboard'!D10</f>
        <v>27000</v>
      </c>
      <c r="C109" s="64"/>
      <c r="D109" s="64"/>
      <c r="E109" s="65" t="n">
        <f aca="false">'Equity Dashboard'!E10</f>
        <v>360</v>
      </c>
      <c r="F109" s="65"/>
      <c r="G109" s="65"/>
      <c r="H109" s="66" t="n">
        <f aca="false">'Equity Dashboard'!F10</f>
        <v>0.0399445214979196</v>
      </c>
      <c r="I109" s="66"/>
      <c r="J109" s="66"/>
    </row>
    <row r="110" customFormat="false" ht="12" hidden="false" customHeight="true" outlineLevel="0" collapsed="false"/>
    <row r="111" customFormat="false" ht="19.5" hidden="false" customHeight="true" outlineLevel="0" collapsed="false">
      <c r="B111" s="63" t="s">
        <v>257</v>
      </c>
      <c r="C111" s="63"/>
      <c r="D111" s="63"/>
      <c r="E111" s="63"/>
      <c r="F111" s="63"/>
      <c r="G111" s="63"/>
      <c r="H111" s="63"/>
      <c r="I111" s="63"/>
      <c r="J111" s="63"/>
      <c r="K111" s="63"/>
    </row>
    <row r="112" customFormat="false" ht="30" hidden="false" customHeight="true" outlineLevel="0" collapsed="false">
      <c r="B112" s="49" t="s">
        <v>59</v>
      </c>
      <c r="C112" s="49" t="s">
        <v>60</v>
      </c>
      <c r="D112" s="49" t="s">
        <v>102</v>
      </c>
      <c r="E112" s="49" t="s">
        <v>258</v>
      </c>
      <c r="F112" s="49" t="s">
        <v>259</v>
      </c>
      <c r="G112" s="49" t="s">
        <v>260</v>
      </c>
      <c r="H112" s="49" t="s">
        <v>261</v>
      </c>
      <c r="I112" s="49" t="s">
        <v>262</v>
      </c>
      <c r="J112" s="49" t="s">
        <v>263</v>
      </c>
      <c r="K112" s="49" t="s">
        <v>264</v>
      </c>
    </row>
    <row r="113" customFormat="false" ht="19.5" hidden="false" customHeight="true" outlineLevel="0" collapsed="false">
      <c r="B113" s="18" t="s">
        <v>66</v>
      </c>
      <c r="C113" s="67" t="str">
        <f aca="false">Projektinställningar!C24</f>
        <v>Development</v>
      </c>
      <c r="D113" s="68" t="n">
        <f aca="false">SUMIFS('Egeninsats &amp; Poäng'!G:G,'Egeninsats &amp; Poäng'!C:C,"Sara Nilsson",'Egeninsats &amp; Poäng'!F:F,"F1")</f>
        <v>0</v>
      </c>
      <c r="E113" s="68" t="str">
        <f aca="false">IFERROR(SUMIFS('Egeninsats &amp; Poäng'!H:H,'Egeninsats &amp; Poäng'!C:C,"Sara Nilsson",'Egeninsats &amp; Poäng'!F:F,"F1")/SUMIFS('Egeninsats &amp; Poäng'!G:G,'Egeninsats &amp; Poäng'!C:C,"Sara Nilsson",'Egeninsats &amp; Poäng'!F:F,"F1"),"")</f>
        <v/>
      </c>
      <c r="F113" s="68" t="str">
        <f aca="false">IFERROR(SUMIFS('Egeninsats &amp; Poäng'!I:I,'Egeninsats &amp; Poäng'!C:C,"Sara Nilsson",'Egeninsats &amp; Poäng'!F:F,"F1")/SUMIFS('Egeninsats &amp; Poäng'!G:G,'Egeninsats &amp; Poäng'!C:C,"Sara Nilsson",'Egeninsats &amp; Poäng'!F:F,"F1"),"")</f>
        <v/>
      </c>
      <c r="G113" s="68" t="n">
        <f aca="false">SUMIFS('Egeninsats &amp; Poäng'!J:J,'Egeninsats &amp; Poäng'!C:C,"Sara Nilsson",'Egeninsats &amp; Poäng'!F:F,"F1")</f>
        <v>0</v>
      </c>
      <c r="H113" s="69" t="str">
        <f aca="false">IFERROR(SUMIFS('Egeninsats &amp; Poäng'!K:K,'Egeninsats &amp; Poäng'!C:C,"Sara Nilsson",'Egeninsats &amp; Poäng'!F:F,"F1")/SUMIFS('Egeninsats &amp; Poäng'!G:G,'Egeninsats &amp; Poäng'!C:C,"Sara Nilsson",'Egeninsats &amp; Poäng'!F:F,"F1"),"")</f>
        <v/>
      </c>
      <c r="I113" s="70" t="str">
        <f aca="false">IFERROR(SUMIFS('Egeninsats &amp; Poäng'!L:L,'Egeninsats &amp; Poäng'!C:C,"Sara Nilsson",'Egeninsats &amp; Poäng'!F:F,"F1")/SUMIFS('Egeninsats &amp; Poäng'!G:G,'Egeninsats &amp; Poäng'!C:C,"Sara Nilsson",'Egeninsats &amp; Poäng'!F:F,"F1"),"")</f>
        <v/>
      </c>
      <c r="J113" s="34" t="n">
        <f aca="false">SUMIFS('Egeninsats &amp; Poäng'!M:M,'Egeninsats &amp; Poäng'!C:C,"Sara Nilsson",'Egeninsats &amp; Poäng'!F:F,"F1")</f>
        <v>0</v>
      </c>
      <c r="K113" s="71" t="n">
        <f aca="false">IFERROR(J113/'Equity Dashboard'!E10,"")</f>
        <v>0</v>
      </c>
    </row>
    <row r="114" customFormat="false" ht="19.5" hidden="false" customHeight="true" outlineLevel="0" collapsed="false">
      <c r="B114" s="23" t="s">
        <v>69</v>
      </c>
      <c r="C114" s="72" t="str">
        <f aca="false">Projektinställningar!C25</f>
        <v>Pre-production</v>
      </c>
      <c r="D114" s="73" t="n">
        <f aca="false">SUMIFS('Egeninsats &amp; Poäng'!G:G,'Egeninsats &amp; Poäng'!C:C,"Sara Nilsson",'Egeninsats &amp; Poäng'!F:F,"F2")</f>
        <v>0</v>
      </c>
      <c r="E114" s="73" t="str">
        <f aca="false">IFERROR(SUMIFS('Egeninsats &amp; Poäng'!H:H,'Egeninsats &amp; Poäng'!C:C,"Sara Nilsson",'Egeninsats &amp; Poäng'!F:F,"F2")/SUMIFS('Egeninsats &amp; Poäng'!G:G,'Egeninsats &amp; Poäng'!C:C,"Sara Nilsson",'Egeninsats &amp; Poäng'!F:F,"F2"),"")</f>
        <v/>
      </c>
      <c r="F114" s="73" t="str">
        <f aca="false">IFERROR(SUMIFS('Egeninsats &amp; Poäng'!I:I,'Egeninsats &amp; Poäng'!C:C,"Sara Nilsson",'Egeninsats &amp; Poäng'!F:F,"F2")/SUMIFS('Egeninsats &amp; Poäng'!G:G,'Egeninsats &amp; Poäng'!C:C,"Sara Nilsson",'Egeninsats &amp; Poäng'!F:F,"F2"),"")</f>
        <v/>
      </c>
      <c r="G114" s="73" t="n">
        <f aca="false">SUMIFS('Egeninsats &amp; Poäng'!J:J,'Egeninsats &amp; Poäng'!C:C,"Sara Nilsson",'Egeninsats &amp; Poäng'!F:F,"F2")</f>
        <v>0</v>
      </c>
      <c r="H114" s="74" t="str">
        <f aca="false">IFERROR(SUMIFS('Egeninsats &amp; Poäng'!K:K,'Egeninsats &amp; Poäng'!C:C,"Sara Nilsson",'Egeninsats &amp; Poäng'!F:F,"F2")/SUMIFS('Egeninsats &amp; Poäng'!G:G,'Egeninsats &amp; Poäng'!C:C,"Sara Nilsson",'Egeninsats &amp; Poäng'!F:F,"F2"),"")</f>
        <v/>
      </c>
      <c r="I114" s="75" t="str">
        <f aca="false">IFERROR(SUMIFS('Egeninsats &amp; Poäng'!L:L,'Egeninsats &amp; Poäng'!C:C,"Sara Nilsson",'Egeninsats &amp; Poäng'!F:F,"F2")/SUMIFS('Egeninsats &amp; Poäng'!G:G,'Egeninsats &amp; Poäng'!C:C,"Sara Nilsson",'Egeninsats &amp; Poäng'!F:F,"F2"),"")</f>
        <v/>
      </c>
      <c r="J114" s="76" t="n">
        <f aca="false">SUMIFS('Egeninsats &amp; Poäng'!M:M,'Egeninsats &amp; Poäng'!C:C,"Sara Nilsson",'Egeninsats &amp; Poäng'!F:F,"F2")</f>
        <v>0</v>
      </c>
      <c r="K114" s="77" t="n">
        <f aca="false">IFERROR(J114/'Equity Dashboard'!E10,"")</f>
        <v>0</v>
      </c>
    </row>
    <row r="115" customFormat="false" ht="19.5" hidden="false" customHeight="true" outlineLevel="0" collapsed="false">
      <c r="B115" s="18" t="s">
        <v>71</v>
      </c>
      <c r="C115" s="67" t="str">
        <f aca="false">Projektinställningar!C26</f>
        <v>Pilot / Testinsp.</v>
      </c>
      <c r="D115" s="68" t="n">
        <f aca="false">SUMIFS('Egeninsats &amp; Poäng'!G:G,'Egeninsats &amp; Poäng'!C:C,"Sara Nilsson",'Egeninsats &amp; Poäng'!F:F,"F3")</f>
        <v>0</v>
      </c>
      <c r="E115" s="68" t="str">
        <f aca="false">IFERROR(SUMIFS('Egeninsats &amp; Poäng'!H:H,'Egeninsats &amp; Poäng'!C:C,"Sara Nilsson",'Egeninsats &amp; Poäng'!F:F,"F3")/SUMIFS('Egeninsats &amp; Poäng'!G:G,'Egeninsats &amp; Poäng'!C:C,"Sara Nilsson",'Egeninsats &amp; Poäng'!F:F,"F3"),"")</f>
        <v/>
      </c>
      <c r="F115" s="68" t="str">
        <f aca="false">IFERROR(SUMIFS('Egeninsats &amp; Poäng'!I:I,'Egeninsats &amp; Poäng'!C:C,"Sara Nilsson",'Egeninsats &amp; Poäng'!F:F,"F3")/SUMIFS('Egeninsats &amp; Poäng'!G:G,'Egeninsats &amp; Poäng'!C:C,"Sara Nilsson",'Egeninsats &amp; Poäng'!F:F,"F3"),"")</f>
        <v/>
      </c>
      <c r="G115" s="68" t="n">
        <f aca="false">SUMIFS('Egeninsats &amp; Poäng'!J:J,'Egeninsats &amp; Poäng'!C:C,"Sara Nilsson",'Egeninsats &amp; Poäng'!F:F,"F3")</f>
        <v>0</v>
      </c>
      <c r="H115" s="69" t="str">
        <f aca="false">IFERROR(SUMIFS('Egeninsats &amp; Poäng'!K:K,'Egeninsats &amp; Poäng'!C:C,"Sara Nilsson",'Egeninsats &amp; Poäng'!F:F,"F3")/SUMIFS('Egeninsats &amp; Poäng'!G:G,'Egeninsats &amp; Poäng'!C:C,"Sara Nilsson",'Egeninsats &amp; Poäng'!F:F,"F3"),"")</f>
        <v/>
      </c>
      <c r="I115" s="70" t="str">
        <f aca="false">IFERROR(SUMIFS('Egeninsats &amp; Poäng'!L:L,'Egeninsats &amp; Poäng'!C:C,"Sara Nilsson",'Egeninsats &amp; Poäng'!F:F,"F3")/SUMIFS('Egeninsats &amp; Poäng'!G:G,'Egeninsats &amp; Poäng'!C:C,"Sara Nilsson",'Egeninsats &amp; Poäng'!F:F,"F3"),"")</f>
        <v/>
      </c>
      <c r="J115" s="34" t="n">
        <f aca="false">SUMIFS('Egeninsats &amp; Poäng'!M:M,'Egeninsats &amp; Poäng'!C:C,"Sara Nilsson",'Egeninsats &amp; Poäng'!F:F,"F3")</f>
        <v>0</v>
      </c>
      <c r="K115" s="71" t="n">
        <f aca="false">IFERROR(J115/'Equity Dashboard'!E10,"")</f>
        <v>0</v>
      </c>
    </row>
    <row r="116" customFormat="false" ht="19.5" hidden="false" customHeight="true" outlineLevel="0" collapsed="false">
      <c r="B116" s="23" t="s">
        <v>74</v>
      </c>
      <c r="C116" s="72" t="str">
        <f aca="false">Projektinställningar!C27</f>
        <v>Production Fas 1</v>
      </c>
      <c r="D116" s="73" t="n">
        <f aca="false">SUMIFS('Egeninsats &amp; Poäng'!G:G,'Egeninsats &amp; Poäng'!C:C,"Sara Nilsson",'Egeninsats &amp; Poäng'!F:F,"F4")</f>
        <v>30</v>
      </c>
      <c r="E116" s="73" t="n">
        <f aca="false">IFERROR(SUMIFS('Egeninsats &amp; Poäng'!H:H,'Egeninsats &amp; Poäng'!C:C,"Sara Nilsson",'Egeninsats &amp; Poäng'!F:F,"F4")/SUMIFS('Egeninsats &amp; Poäng'!G:G,'Egeninsats &amp; Poäng'!C:C,"Sara Nilsson",'Egeninsats &amp; Poäng'!F:F,"F4"),"")</f>
        <v>30</v>
      </c>
      <c r="F116" s="73" t="n">
        <f aca="false">IFERROR(SUMIFS('Egeninsats &amp; Poäng'!I:I,'Egeninsats &amp; Poäng'!C:C,"Sara Nilsson",'Egeninsats &amp; Poäng'!F:F,"F4")/SUMIFS('Egeninsats &amp; Poäng'!G:G,'Egeninsats &amp; Poäng'!C:C,"Sara Nilsson",'Egeninsats &amp; Poäng'!F:F,"F4"),"")</f>
        <v>60</v>
      </c>
      <c r="G116" s="73" t="n">
        <f aca="false">SUMIFS('Egeninsats &amp; Poäng'!J:J,'Egeninsats &amp; Poäng'!C:C,"Sara Nilsson",'Egeninsats &amp; Poäng'!F:F,"F4")</f>
        <v>27000</v>
      </c>
      <c r="H116" s="74" t="n">
        <f aca="false">IFERROR(SUMIFS('Egeninsats &amp; Poäng'!K:K,'Egeninsats &amp; Poäng'!C:C,"Sara Nilsson",'Egeninsats &amp; Poäng'!F:F,"F4")/SUMIFS('Egeninsats &amp; Poäng'!G:G,'Egeninsats &amp; Poäng'!C:C,"Sara Nilsson",'Egeninsats &amp; Poäng'!F:F,"F4"),"")</f>
        <v>0.333333333333333</v>
      </c>
      <c r="I116" s="75" t="n">
        <f aca="false">IFERROR(SUMIFS('Egeninsats &amp; Poäng'!L:L,'Egeninsats &amp; Poäng'!C:C,"Sara Nilsson",'Egeninsats &amp; Poäng'!F:F,"F4")/SUMIFS('Egeninsats &amp; Poäng'!G:G,'Egeninsats &amp; Poäng'!C:C,"Sara Nilsson",'Egeninsats &amp; Poäng'!F:F,"F4"),"")</f>
        <v>0.04</v>
      </c>
      <c r="J116" s="76" t="n">
        <f aca="false">SUMIFS('Egeninsats &amp; Poäng'!M:M,'Egeninsats &amp; Poäng'!C:C,"Sara Nilsson",'Egeninsats &amp; Poäng'!F:F,"F4")</f>
        <v>360</v>
      </c>
      <c r="K116" s="77" t="n">
        <f aca="false">IFERROR(J116/'Equity Dashboard'!E10,"")</f>
        <v>1</v>
      </c>
    </row>
    <row r="117" customFormat="false" ht="19.5" hidden="false" customHeight="true" outlineLevel="0" collapsed="false">
      <c r="B117" s="18" t="s">
        <v>76</v>
      </c>
      <c r="C117" s="67" t="str">
        <f aca="false">Projektinställningar!C28</f>
        <v>Production Fas 2</v>
      </c>
      <c r="D117" s="68" t="n">
        <f aca="false">SUMIFS('Egeninsats &amp; Poäng'!G:G,'Egeninsats &amp; Poäng'!C:C,"Sara Nilsson",'Egeninsats &amp; Poäng'!F:F,"F5")</f>
        <v>0</v>
      </c>
      <c r="E117" s="68" t="str">
        <f aca="false">IFERROR(SUMIFS('Egeninsats &amp; Poäng'!H:H,'Egeninsats &amp; Poäng'!C:C,"Sara Nilsson",'Egeninsats &amp; Poäng'!F:F,"F5")/SUMIFS('Egeninsats &amp; Poäng'!G:G,'Egeninsats &amp; Poäng'!C:C,"Sara Nilsson",'Egeninsats &amp; Poäng'!F:F,"F5"),"")</f>
        <v/>
      </c>
      <c r="F117" s="68" t="str">
        <f aca="false">IFERROR(SUMIFS('Egeninsats &amp; Poäng'!I:I,'Egeninsats &amp; Poäng'!C:C,"Sara Nilsson",'Egeninsats &amp; Poäng'!F:F,"F5")/SUMIFS('Egeninsats &amp; Poäng'!G:G,'Egeninsats &amp; Poäng'!C:C,"Sara Nilsson",'Egeninsats &amp; Poäng'!F:F,"F5"),"")</f>
        <v/>
      </c>
      <c r="G117" s="68" t="n">
        <f aca="false">SUMIFS('Egeninsats &amp; Poäng'!J:J,'Egeninsats &amp; Poäng'!C:C,"Sara Nilsson",'Egeninsats &amp; Poäng'!F:F,"F5")</f>
        <v>0</v>
      </c>
      <c r="H117" s="69" t="str">
        <f aca="false">IFERROR(SUMIFS('Egeninsats &amp; Poäng'!K:K,'Egeninsats &amp; Poäng'!C:C,"Sara Nilsson",'Egeninsats &amp; Poäng'!F:F,"F5")/SUMIFS('Egeninsats &amp; Poäng'!G:G,'Egeninsats &amp; Poäng'!C:C,"Sara Nilsson",'Egeninsats &amp; Poäng'!F:F,"F5"),"")</f>
        <v/>
      </c>
      <c r="I117" s="70" t="str">
        <f aca="false">IFERROR(SUMIFS('Egeninsats &amp; Poäng'!L:L,'Egeninsats &amp; Poäng'!C:C,"Sara Nilsson",'Egeninsats &amp; Poäng'!F:F,"F5")/SUMIFS('Egeninsats &amp; Poäng'!G:G,'Egeninsats &amp; Poäng'!C:C,"Sara Nilsson",'Egeninsats &amp; Poäng'!F:F,"F5"),"")</f>
        <v/>
      </c>
      <c r="J117" s="34" t="n">
        <f aca="false">SUMIFS('Egeninsats &amp; Poäng'!M:M,'Egeninsats &amp; Poäng'!C:C,"Sara Nilsson",'Egeninsats &amp; Poäng'!F:F,"F5")</f>
        <v>0</v>
      </c>
      <c r="K117" s="71" t="n">
        <f aca="false">IFERROR(J117/'Equity Dashboard'!E10,"")</f>
        <v>0</v>
      </c>
    </row>
    <row r="118" customFormat="false" ht="19.5" hidden="false" customHeight="true" outlineLevel="0" collapsed="false">
      <c r="B118" s="23" t="s">
        <v>78</v>
      </c>
      <c r="C118" s="72" t="str">
        <f aca="false">Projektinställningar!C29</f>
        <v>Post-production</v>
      </c>
      <c r="D118" s="73" t="n">
        <f aca="false">SUMIFS('Egeninsats &amp; Poäng'!G:G,'Egeninsats &amp; Poäng'!C:C,"Sara Nilsson",'Egeninsats &amp; Poäng'!F:F,"F6")</f>
        <v>0</v>
      </c>
      <c r="E118" s="73" t="str">
        <f aca="false">IFERROR(SUMIFS('Egeninsats &amp; Poäng'!H:H,'Egeninsats &amp; Poäng'!C:C,"Sara Nilsson",'Egeninsats &amp; Poäng'!F:F,"F6")/SUMIFS('Egeninsats &amp; Poäng'!G:G,'Egeninsats &amp; Poäng'!C:C,"Sara Nilsson",'Egeninsats &amp; Poäng'!F:F,"F6"),"")</f>
        <v/>
      </c>
      <c r="F118" s="73" t="str">
        <f aca="false">IFERROR(SUMIFS('Egeninsats &amp; Poäng'!I:I,'Egeninsats &amp; Poäng'!C:C,"Sara Nilsson",'Egeninsats &amp; Poäng'!F:F,"F6")/SUMIFS('Egeninsats &amp; Poäng'!G:G,'Egeninsats &amp; Poäng'!C:C,"Sara Nilsson",'Egeninsats &amp; Poäng'!F:F,"F6"),"")</f>
        <v/>
      </c>
      <c r="G118" s="73" t="n">
        <f aca="false">SUMIFS('Egeninsats &amp; Poäng'!J:J,'Egeninsats &amp; Poäng'!C:C,"Sara Nilsson",'Egeninsats &amp; Poäng'!F:F,"F6")</f>
        <v>0</v>
      </c>
      <c r="H118" s="74" t="str">
        <f aca="false">IFERROR(SUMIFS('Egeninsats &amp; Poäng'!K:K,'Egeninsats &amp; Poäng'!C:C,"Sara Nilsson",'Egeninsats &amp; Poäng'!F:F,"F6")/SUMIFS('Egeninsats &amp; Poäng'!G:G,'Egeninsats &amp; Poäng'!C:C,"Sara Nilsson",'Egeninsats &amp; Poäng'!F:F,"F6"),"")</f>
        <v/>
      </c>
      <c r="I118" s="75" t="str">
        <f aca="false">IFERROR(SUMIFS('Egeninsats &amp; Poäng'!L:L,'Egeninsats &amp; Poäng'!C:C,"Sara Nilsson",'Egeninsats &amp; Poäng'!F:F,"F6")/SUMIFS('Egeninsats &amp; Poäng'!G:G,'Egeninsats &amp; Poäng'!C:C,"Sara Nilsson",'Egeninsats &amp; Poäng'!F:F,"F6"),"")</f>
        <v/>
      </c>
      <c r="J118" s="76" t="n">
        <f aca="false">SUMIFS('Egeninsats &amp; Poäng'!M:M,'Egeninsats &amp; Poäng'!C:C,"Sara Nilsson",'Egeninsats &amp; Poäng'!F:F,"F6")</f>
        <v>0</v>
      </c>
      <c r="K118" s="77" t="n">
        <f aca="false">IFERROR(J118/'Equity Dashboard'!E10,"")</f>
        <v>0</v>
      </c>
    </row>
    <row r="119" customFormat="false" ht="19.5" hidden="false" customHeight="true" outlineLevel="0" collapsed="false">
      <c r="B119" s="18" t="s">
        <v>80</v>
      </c>
      <c r="C119" s="67" t="str">
        <f aca="false">Projektinställningar!C30</f>
        <v>Promotion / Lansering</v>
      </c>
      <c r="D119" s="68" t="n">
        <f aca="false">SUMIFS('Egeninsats &amp; Poäng'!G:G,'Egeninsats &amp; Poäng'!C:C,"Sara Nilsson",'Egeninsats &amp; Poäng'!F:F,"F7")</f>
        <v>0</v>
      </c>
      <c r="E119" s="68" t="str">
        <f aca="false">IFERROR(SUMIFS('Egeninsats &amp; Poäng'!H:H,'Egeninsats &amp; Poäng'!C:C,"Sara Nilsson",'Egeninsats &amp; Poäng'!F:F,"F7")/SUMIFS('Egeninsats &amp; Poäng'!G:G,'Egeninsats &amp; Poäng'!C:C,"Sara Nilsson",'Egeninsats &amp; Poäng'!F:F,"F7"),"")</f>
        <v/>
      </c>
      <c r="F119" s="68" t="str">
        <f aca="false">IFERROR(SUMIFS('Egeninsats &amp; Poäng'!I:I,'Egeninsats &amp; Poäng'!C:C,"Sara Nilsson",'Egeninsats &amp; Poäng'!F:F,"F7")/SUMIFS('Egeninsats &amp; Poäng'!G:G,'Egeninsats &amp; Poäng'!C:C,"Sara Nilsson",'Egeninsats &amp; Poäng'!F:F,"F7"),"")</f>
        <v/>
      </c>
      <c r="G119" s="68" t="n">
        <f aca="false">SUMIFS('Egeninsats &amp; Poäng'!J:J,'Egeninsats &amp; Poäng'!C:C,"Sara Nilsson",'Egeninsats &amp; Poäng'!F:F,"F7")</f>
        <v>0</v>
      </c>
      <c r="H119" s="69" t="str">
        <f aca="false">IFERROR(SUMIFS('Egeninsats &amp; Poäng'!K:K,'Egeninsats &amp; Poäng'!C:C,"Sara Nilsson",'Egeninsats &amp; Poäng'!F:F,"F7")/SUMIFS('Egeninsats &amp; Poäng'!G:G,'Egeninsats &amp; Poäng'!C:C,"Sara Nilsson",'Egeninsats &amp; Poäng'!F:F,"F7"),"")</f>
        <v/>
      </c>
      <c r="I119" s="70" t="str">
        <f aca="false">IFERROR(SUMIFS('Egeninsats &amp; Poäng'!L:L,'Egeninsats &amp; Poäng'!C:C,"Sara Nilsson",'Egeninsats &amp; Poäng'!F:F,"F7")/SUMIFS('Egeninsats &amp; Poäng'!G:G,'Egeninsats &amp; Poäng'!C:C,"Sara Nilsson",'Egeninsats &amp; Poäng'!F:F,"F7"),"")</f>
        <v/>
      </c>
      <c r="J119" s="34" t="n">
        <f aca="false">SUMIFS('Egeninsats &amp; Poäng'!M:M,'Egeninsats &amp; Poäng'!C:C,"Sara Nilsson",'Egeninsats &amp; Poäng'!F:F,"F7")</f>
        <v>0</v>
      </c>
      <c r="K119" s="71" t="n">
        <f aca="false">IFERROR(J119/'Equity Dashboard'!E10,"")</f>
        <v>0</v>
      </c>
    </row>
    <row r="120" customFormat="false" ht="19.5" hidden="false" customHeight="true" outlineLevel="0" collapsed="false">
      <c r="B120" s="23" t="s">
        <v>82</v>
      </c>
      <c r="C120" s="72" t="str">
        <f aca="false">Projektinställningar!C31</f>
        <v>Övrigt</v>
      </c>
      <c r="D120" s="73" t="n">
        <f aca="false">SUMIFS('Egeninsats &amp; Poäng'!G:G,'Egeninsats &amp; Poäng'!C:C,"Sara Nilsson",'Egeninsats &amp; Poäng'!F:F,"F8")</f>
        <v>0</v>
      </c>
      <c r="E120" s="73" t="str">
        <f aca="false">IFERROR(SUMIFS('Egeninsats &amp; Poäng'!H:H,'Egeninsats &amp; Poäng'!C:C,"Sara Nilsson",'Egeninsats &amp; Poäng'!F:F,"F8")/SUMIFS('Egeninsats &amp; Poäng'!G:G,'Egeninsats &amp; Poäng'!C:C,"Sara Nilsson",'Egeninsats &amp; Poäng'!F:F,"F8"),"")</f>
        <v/>
      </c>
      <c r="F120" s="73" t="str">
        <f aca="false">IFERROR(SUMIFS('Egeninsats &amp; Poäng'!I:I,'Egeninsats &amp; Poäng'!C:C,"Sara Nilsson",'Egeninsats &amp; Poäng'!F:F,"F8")/SUMIFS('Egeninsats &amp; Poäng'!G:G,'Egeninsats &amp; Poäng'!C:C,"Sara Nilsson",'Egeninsats &amp; Poäng'!F:F,"F8"),"")</f>
        <v/>
      </c>
      <c r="G120" s="73" t="n">
        <f aca="false">SUMIFS('Egeninsats &amp; Poäng'!J:J,'Egeninsats &amp; Poäng'!C:C,"Sara Nilsson",'Egeninsats &amp; Poäng'!F:F,"F8")</f>
        <v>0</v>
      </c>
      <c r="H120" s="74" t="str">
        <f aca="false">IFERROR(SUMIFS('Egeninsats &amp; Poäng'!K:K,'Egeninsats &amp; Poäng'!C:C,"Sara Nilsson",'Egeninsats &amp; Poäng'!F:F,"F8")/SUMIFS('Egeninsats &amp; Poäng'!G:G,'Egeninsats &amp; Poäng'!C:C,"Sara Nilsson",'Egeninsats &amp; Poäng'!F:F,"F8"),"")</f>
        <v/>
      </c>
      <c r="I120" s="75" t="str">
        <f aca="false">IFERROR(SUMIFS('Egeninsats &amp; Poäng'!L:L,'Egeninsats &amp; Poäng'!C:C,"Sara Nilsson",'Egeninsats &amp; Poäng'!F:F,"F8")/SUMIFS('Egeninsats &amp; Poäng'!G:G,'Egeninsats &amp; Poäng'!C:C,"Sara Nilsson",'Egeninsats &amp; Poäng'!F:F,"F8"),"")</f>
        <v/>
      </c>
      <c r="J120" s="76" t="n">
        <f aca="false">SUMIFS('Egeninsats &amp; Poäng'!M:M,'Egeninsats &amp; Poäng'!C:C,"Sara Nilsson",'Egeninsats &amp; Poäng'!F:F,"F8")</f>
        <v>0</v>
      </c>
      <c r="K120" s="77" t="n">
        <f aca="false">IFERROR(J120/'Equity Dashboard'!E10,"")</f>
        <v>0</v>
      </c>
    </row>
    <row r="121" customFormat="false" ht="21.75" hidden="false" customHeight="true" outlineLevel="0" collapsed="false">
      <c r="B121" s="78" t="s">
        <v>136</v>
      </c>
      <c r="C121" s="78"/>
      <c r="D121" s="79" t="n">
        <f aca="false">SUM(D113:D120)</f>
        <v>30</v>
      </c>
      <c r="E121" s="80"/>
      <c r="F121" s="80"/>
      <c r="G121" s="79" t="n">
        <f aca="false">SUM(G113:G120)</f>
        <v>27000</v>
      </c>
      <c r="H121" s="80"/>
      <c r="I121" s="80"/>
      <c r="J121" s="81" t="n">
        <f aca="false">SUM(J113:J120)</f>
        <v>360</v>
      </c>
      <c r="K121" s="80"/>
    </row>
    <row r="122" customFormat="false" ht="12" hidden="false" customHeight="true" outlineLevel="0" collapsed="false"/>
    <row r="123" customFormat="false" ht="19.5" hidden="false" customHeight="true" outlineLevel="0" collapsed="false">
      <c r="B123" s="63" t="s">
        <v>265</v>
      </c>
      <c r="C123" s="63"/>
      <c r="D123" s="63"/>
      <c r="E123" s="63"/>
      <c r="F123" s="63"/>
      <c r="G123" s="63"/>
      <c r="H123" s="63"/>
      <c r="I123" s="63"/>
      <c r="J123" s="63"/>
      <c r="K123" s="63"/>
    </row>
    <row r="124" customFormat="false" ht="27.75" hidden="false" customHeight="true" outlineLevel="0" collapsed="false">
      <c r="B124" s="82" t="s">
        <v>266</v>
      </c>
      <c r="C124" s="82"/>
      <c r="D124" s="82"/>
      <c r="E124" s="82"/>
      <c r="F124" s="82"/>
      <c r="G124" s="82"/>
      <c r="H124" s="82"/>
      <c r="I124" s="82"/>
      <c r="J124" s="82"/>
      <c r="K124" s="82"/>
    </row>
    <row r="125" customFormat="false" ht="30" hidden="false" customHeight="true" outlineLevel="0" collapsed="false">
      <c r="B125" s="55" t="s">
        <v>231</v>
      </c>
      <c r="C125" s="55"/>
      <c r="D125" s="55"/>
      <c r="E125" s="55" t="s">
        <v>267</v>
      </c>
      <c r="F125" s="55"/>
      <c r="G125" s="55"/>
      <c r="H125" s="55" t="s">
        <v>233</v>
      </c>
      <c r="I125" s="55"/>
      <c r="J125" s="55"/>
    </row>
    <row r="126" customFormat="false" ht="19.5" hidden="false" customHeight="true" outlineLevel="0" collapsed="false">
      <c r="B126" s="83" t="s">
        <v>268</v>
      </c>
      <c r="C126" s="83"/>
      <c r="D126" s="83"/>
      <c r="E126" s="83" t="s">
        <v>268</v>
      </c>
      <c r="F126" s="83"/>
      <c r="G126" s="83"/>
      <c r="H126" s="83" t="s">
        <v>268</v>
      </c>
      <c r="I126" s="83"/>
      <c r="J126" s="83"/>
    </row>
    <row r="127" customFormat="false" ht="36" hidden="false" customHeight="true" outlineLevel="0" collapsed="false">
      <c r="B127" s="83" t="n">
        <f aca="false">'Waterfall Simulering'!D22</f>
        <v>0</v>
      </c>
      <c r="C127" s="83"/>
      <c r="D127" s="83"/>
      <c r="E127" s="83" t="n">
        <f aca="false">'Waterfall Simulering'!E22</f>
        <v>0</v>
      </c>
      <c r="F127" s="83"/>
      <c r="G127" s="83"/>
      <c r="H127" s="83" t="n">
        <f aca="false">'Waterfall Simulering'!F22</f>
        <v>0</v>
      </c>
      <c r="I127" s="83"/>
      <c r="J127" s="83"/>
    </row>
    <row r="128" customFormat="false" ht="12" hidden="false" customHeight="true" outlineLevel="0" collapsed="false">
      <c r="B128" s="84" t="n">
        <f aca="false">'Equity Dashboard'!F10*'Waterfall Simulering'!D22</f>
        <v>0</v>
      </c>
      <c r="E128" s="84" t="n">
        <f aca="false">'Equity Dashboard'!F10*'Waterfall Simulering'!E22</f>
        <v>0</v>
      </c>
      <c r="H128" s="84" t="n">
        <f aca="false">'Equity Dashboard'!F10*'Waterfall Simulering'!F22</f>
        <v>0</v>
      </c>
    </row>
    <row r="129" customFormat="false" ht="15.75" hidden="false" customHeight="true" outlineLevel="0" collapsed="false">
      <c r="B129" s="85" t="s">
        <v>269</v>
      </c>
      <c r="C129" s="85"/>
      <c r="D129" s="85"/>
      <c r="E129" s="85"/>
      <c r="F129" s="85"/>
      <c r="G129" s="85"/>
      <c r="H129" s="85"/>
      <c r="I129" s="85"/>
      <c r="J129" s="85"/>
      <c r="K129" s="85"/>
    </row>
    <row r="132" customFormat="false" ht="4.5" hidden="false" customHeight="true" outlineLevel="0" collapsed="false"/>
    <row r="133" customFormat="false" ht="7.5" hidden="false" customHeight="true" outlineLevel="0" collapsed="false"/>
    <row r="134" customFormat="false" ht="24" hidden="false" customHeight="true" outlineLevel="0" collapsed="false">
      <c r="B134" s="60" t="n">
        <f aca="false">Projektinställningar!C5</f>
        <v>0</v>
      </c>
      <c r="C134" s="60"/>
      <c r="D134" s="60"/>
      <c r="E134" s="60"/>
      <c r="F134" s="60"/>
      <c r="G134" s="60"/>
      <c r="H134" s="60"/>
    </row>
    <row r="135" customFormat="false" ht="18" hidden="false" customHeight="true" outlineLevel="0" collapsed="false">
      <c r="B135" s="61" t="s">
        <v>253</v>
      </c>
      <c r="C135" s="61"/>
      <c r="D135" s="61"/>
      <c r="E135" s="61"/>
      <c r="F135" s="61"/>
      <c r="G135" s="61"/>
      <c r="H135" s="61"/>
    </row>
    <row r="136" customFormat="false" ht="6" hidden="false" customHeight="true" outlineLevel="0" collapsed="false">
      <c r="B136" s="4"/>
      <c r="C136" s="4"/>
      <c r="D136" s="4"/>
      <c r="E136" s="4"/>
      <c r="F136" s="4"/>
      <c r="G136" s="4"/>
      <c r="H136" s="4"/>
      <c r="I136" s="4"/>
      <c r="J136" s="4"/>
      <c r="K136" s="4"/>
    </row>
    <row r="137" customFormat="false" ht="9.75" hidden="false" customHeight="true" outlineLevel="0" collapsed="false"/>
    <row r="138" customFormat="false" ht="27.75" hidden="false" customHeight="true" outlineLevel="0" collapsed="false">
      <c r="B138" s="2" t="s">
        <v>118</v>
      </c>
      <c r="C138" s="2"/>
      <c r="D138" s="2"/>
      <c r="E138" s="2"/>
      <c r="F138" s="2"/>
    </row>
    <row r="139" customFormat="false" ht="18" hidden="false" customHeight="true" outlineLevel="0" collapsed="false">
      <c r="B139" s="62" t="s">
        <v>119</v>
      </c>
      <c r="C139" s="62"/>
      <c r="D139" s="62"/>
      <c r="E139" s="62"/>
      <c r="F139" s="62"/>
    </row>
    <row r="140" customFormat="false" ht="7.5" hidden="false" customHeight="true" outlineLevel="0" collapsed="false"/>
    <row r="141" customFormat="false" ht="18" hidden="false" customHeight="true" outlineLevel="0" collapsed="false">
      <c r="B141" s="63" t="s">
        <v>254</v>
      </c>
      <c r="C141" s="63"/>
      <c r="D141" s="63"/>
      <c r="E141" s="63" t="s">
        <v>255</v>
      </c>
      <c r="F141" s="63"/>
      <c r="G141" s="63"/>
      <c r="H141" s="63" t="s">
        <v>256</v>
      </c>
      <c r="I141" s="63"/>
      <c r="J141" s="63"/>
    </row>
    <row r="142" customFormat="false" ht="31.5" hidden="false" customHeight="true" outlineLevel="0" collapsed="false">
      <c r="B142" s="64" t="n">
        <f aca="false">'Equity Dashboard'!D11</f>
        <v>25000</v>
      </c>
      <c r="C142" s="64"/>
      <c r="D142" s="64"/>
      <c r="E142" s="65" t="n">
        <f aca="false">'Equity Dashboard'!E11</f>
        <v>375</v>
      </c>
      <c r="F142" s="65"/>
      <c r="G142" s="65"/>
      <c r="H142" s="66" t="n">
        <f aca="false">'Equity Dashboard'!F11</f>
        <v>0.0416088765603329</v>
      </c>
      <c r="I142" s="66"/>
      <c r="J142" s="66"/>
    </row>
    <row r="143" customFormat="false" ht="12" hidden="false" customHeight="true" outlineLevel="0" collapsed="false"/>
    <row r="144" customFormat="false" ht="19.5" hidden="false" customHeight="true" outlineLevel="0" collapsed="false">
      <c r="B144" s="63" t="s">
        <v>257</v>
      </c>
      <c r="C144" s="63"/>
      <c r="D144" s="63"/>
      <c r="E144" s="63"/>
      <c r="F144" s="63"/>
      <c r="G144" s="63"/>
      <c r="H144" s="63"/>
      <c r="I144" s="63"/>
      <c r="J144" s="63"/>
      <c r="K144" s="63"/>
    </row>
    <row r="145" customFormat="false" ht="30" hidden="false" customHeight="true" outlineLevel="0" collapsed="false">
      <c r="B145" s="49" t="s">
        <v>59</v>
      </c>
      <c r="C145" s="49" t="s">
        <v>60</v>
      </c>
      <c r="D145" s="49" t="s">
        <v>102</v>
      </c>
      <c r="E145" s="49" t="s">
        <v>258</v>
      </c>
      <c r="F145" s="49" t="s">
        <v>259</v>
      </c>
      <c r="G145" s="49" t="s">
        <v>260</v>
      </c>
      <c r="H145" s="49" t="s">
        <v>261</v>
      </c>
      <c r="I145" s="49" t="s">
        <v>262</v>
      </c>
      <c r="J145" s="49" t="s">
        <v>263</v>
      </c>
      <c r="K145" s="49" t="s">
        <v>264</v>
      </c>
    </row>
    <row r="146" customFormat="false" ht="19.5" hidden="false" customHeight="true" outlineLevel="0" collapsed="false">
      <c r="B146" s="18" t="s">
        <v>66</v>
      </c>
      <c r="C146" s="67" t="str">
        <f aca="false">Projektinställningar!C24</f>
        <v>Development</v>
      </c>
      <c r="D146" s="68" t="n">
        <f aca="false">SUMIFS('Egeninsats &amp; Poäng'!G:G,'Egeninsats &amp; Poäng'!C:C,"Lena Berg",'Egeninsats &amp; Poäng'!F:F,"F1")</f>
        <v>0</v>
      </c>
      <c r="E146" s="68" t="str">
        <f aca="false">IFERROR(SUMIFS('Egeninsats &amp; Poäng'!H:H,'Egeninsats &amp; Poäng'!C:C,"Lena Berg",'Egeninsats &amp; Poäng'!F:F,"F1")/SUMIFS('Egeninsats &amp; Poäng'!G:G,'Egeninsats &amp; Poäng'!C:C,"Lena Berg",'Egeninsats &amp; Poäng'!F:F,"F1"),"")</f>
        <v/>
      </c>
      <c r="F146" s="68" t="str">
        <f aca="false">IFERROR(SUMIFS('Egeninsats &amp; Poäng'!I:I,'Egeninsats &amp; Poäng'!C:C,"Lena Berg",'Egeninsats &amp; Poäng'!F:F,"F1")/SUMIFS('Egeninsats &amp; Poäng'!G:G,'Egeninsats &amp; Poäng'!C:C,"Lena Berg",'Egeninsats &amp; Poäng'!F:F,"F1"),"")</f>
        <v/>
      </c>
      <c r="G146" s="68" t="n">
        <f aca="false">SUMIFS('Egeninsats &amp; Poäng'!J:J,'Egeninsats &amp; Poäng'!C:C,"Lena Berg",'Egeninsats &amp; Poäng'!F:F,"F1")</f>
        <v>0</v>
      </c>
      <c r="H146" s="69" t="str">
        <f aca="false">IFERROR(SUMIFS('Egeninsats &amp; Poäng'!K:K,'Egeninsats &amp; Poäng'!C:C,"Lena Berg",'Egeninsats &amp; Poäng'!F:F,"F1")/SUMIFS('Egeninsats &amp; Poäng'!G:G,'Egeninsats &amp; Poäng'!C:C,"Lena Berg",'Egeninsats &amp; Poäng'!F:F,"F1"),"")</f>
        <v/>
      </c>
      <c r="I146" s="70" t="str">
        <f aca="false">IFERROR(SUMIFS('Egeninsats &amp; Poäng'!L:L,'Egeninsats &amp; Poäng'!C:C,"Lena Berg",'Egeninsats &amp; Poäng'!F:F,"F1")/SUMIFS('Egeninsats &amp; Poäng'!G:G,'Egeninsats &amp; Poäng'!C:C,"Lena Berg",'Egeninsats &amp; Poäng'!F:F,"F1"),"")</f>
        <v/>
      </c>
      <c r="J146" s="34" t="n">
        <f aca="false">SUMIFS('Egeninsats &amp; Poäng'!M:M,'Egeninsats &amp; Poäng'!C:C,"Lena Berg",'Egeninsats &amp; Poäng'!F:F,"F1")</f>
        <v>0</v>
      </c>
      <c r="K146" s="71" t="n">
        <f aca="false">IFERROR(J146/'Equity Dashboard'!E11,"")</f>
        <v>0</v>
      </c>
    </row>
    <row r="147" customFormat="false" ht="19.5" hidden="false" customHeight="true" outlineLevel="0" collapsed="false">
      <c r="B147" s="23" t="s">
        <v>69</v>
      </c>
      <c r="C147" s="72" t="str">
        <f aca="false">Projektinställningar!C25</f>
        <v>Pre-production</v>
      </c>
      <c r="D147" s="73" t="n">
        <f aca="false">SUMIFS('Egeninsats &amp; Poäng'!G:G,'Egeninsats &amp; Poäng'!C:C,"Lena Berg",'Egeninsats &amp; Poäng'!F:F,"F2")</f>
        <v>0</v>
      </c>
      <c r="E147" s="73" t="str">
        <f aca="false">IFERROR(SUMIFS('Egeninsats &amp; Poäng'!H:H,'Egeninsats &amp; Poäng'!C:C,"Lena Berg",'Egeninsats &amp; Poäng'!F:F,"F2")/SUMIFS('Egeninsats &amp; Poäng'!G:G,'Egeninsats &amp; Poäng'!C:C,"Lena Berg",'Egeninsats &amp; Poäng'!F:F,"F2"),"")</f>
        <v/>
      </c>
      <c r="F147" s="73" t="str">
        <f aca="false">IFERROR(SUMIFS('Egeninsats &amp; Poäng'!I:I,'Egeninsats &amp; Poäng'!C:C,"Lena Berg",'Egeninsats &amp; Poäng'!F:F,"F2")/SUMIFS('Egeninsats &amp; Poäng'!G:G,'Egeninsats &amp; Poäng'!C:C,"Lena Berg",'Egeninsats &amp; Poäng'!F:F,"F2"),"")</f>
        <v/>
      </c>
      <c r="G147" s="73" t="n">
        <f aca="false">SUMIFS('Egeninsats &amp; Poäng'!J:J,'Egeninsats &amp; Poäng'!C:C,"Lena Berg",'Egeninsats &amp; Poäng'!F:F,"F2")</f>
        <v>0</v>
      </c>
      <c r="H147" s="74" t="str">
        <f aca="false">IFERROR(SUMIFS('Egeninsats &amp; Poäng'!K:K,'Egeninsats &amp; Poäng'!C:C,"Lena Berg",'Egeninsats &amp; Poäng'!F:F,"F2")/SUMIFS('Egeninsats &amp; Poäng'!G:G,'Egeninsats &amp; Poäng'!C:C,"Lena Berg",'Egeninsats &amp; Poäng'!F:F,"F2"),"")</f>
        <v/>
      </c>
      <c r="I147" s="75" t="str">
        <f aca="false">IFERROR(SUMIFS('Egeninsats &amp; Poäng'!L:L,'Egeninsats &amp; Poäng'!C:C,"Lena Berg",'Egeninsats &amp; Poäng'!F:F,"F2")/SUMIFS('Egeninsats &amp; Poäng'!G:G,'Egeninsats &amp; Poäng'!C:C,"Lena Berg",'Egeninsats &amp; Poäng'!F:F,"F2"),"")</f>
        <v/>
      </c>
      <c r="J147" s="76" t="n">
        <f aca="false">SUMIFS('Egeninsats &amp; Poäng'!M:M,'Egeninsats &amp; Poäng'!C:C,"Lena Berg",'Egeninsats &amp; Poäng'!F:F,"F2")</f>
        <v>0</v>
      </c>
      <c r="K147" s="77" t="n">
        <f aca="false">IFERROR(J147/'Equity Dashboard'!E11,"")</f>
        <v>0</v>
      </c>
    </row>
    <row r="148" customFormat="false" ht="19.5" hidden="false" customHeight="true" outlineLevel="0" collapsed="false">
      <c r="B148" s="18" t="s">
        <v>71</v>
      </c>
      <c r="C148" s="67" t="str">
        <f aca="false">Projektinställningar!C26</f>
        <v>Pilot / Testinsp.</v>
      </c>
      <c r="D148" s="68" t="n">
        <f aca="false">SUMIFS('Egeninsats &amp; Poäng'!G:G,'Egeninsats &amp; Poäng'!C:C,"Lena Berg",'Egeninsats &amp; Poäng'!F:F,"F3")</f>
        <v>0</v>
      </c>
      <c r="E148" s="68" t="str">
        <f aca="false">IFERROR(SUMIFS('Egeninsats &amp; Poäng'!H:H,'Egeninsats &amp; Poäng'!C:C,"Lena Berg",'Egeninsats &amp; Poäng'!F:F,"F3")/SUMIFS('Egeninsats &amp; Poäng'!G:G,'Egeninsats &amp; Poäng'!C:C,"Lena Berg",'Egeninsats &amp; Poäng'!F:F,"F3"),"")</f>
        <v/>
      </c>
      <c r="F148" s="68" t="str">
        <f aca="false">IFERROR(SUMIFS('Egeninsats &amp; Poäng'!I:I,'Egeninsats &amp; Poäng'!C:C,"Lena Berg",'Egeninsats &amp; Poäng'!F:F,"F3")/SUMIFS('Egeninsats &amp; Poäng'!G:G,'Egeninsats &amp; Poäng'!C:C,"Lena Berg",'Egeninsats &amp; Poäng'!F:F,"F3"),"")</f>
        <v/>
      </c>
      <c r="G148" s="68" t="n">
        <f aca="false">SUMIFS('Egeninsats &amp; Poäng'!J:J,'Egeninsats &amp; Poäng'!C:C,"Lena Berg",'Egeninsats &amp; Poäng'!F:F,"F3")</f>
        <v>0</v>
      </c>
      <c r="H148" s="69" t="str">
        <f aca="false">IFERROR(SUMIFS('Egeninsats &amp; Poäng'!K:K,'Egeninsats &amp; Poäng'!C:C,"Lena Berg",'Egeninsats &amp; Poäng'!F:F,"F3")/SUMIFS('Egeninsats &amp; Poäng'!G:G,'Egeninsats &amp; Poäng'!C:C,"Lena Berg",'Egeninsats &amp; Poäng'!F:F,"F3"),"")</f>
        <v/>
      </c>
      <c r="I148" s="70" t="str">
        <f aca="false">IFERROR(SUMIFS('Egeninsats &amp; Poäng'!L:L,'Egeninsats &amp; Poäng'!C:C,"Lena Berg",'Egeninsats &amp; Poäng'!F:F,"F3")/SUMIFS('Egeninsats &amp; Poäng'!G:G,'Egeninsats &amp; Poäng'!C:C,"Lena Berg",'Egeninsats &amp; Poäng'!F:F,"F3"),"")</f>
        <v/>
      </c>
      <c r="J148" s="34" t="n">
        <f aca="false">SUMIFS('Egeninsats &amp; Poäng'!M:M,'Egeninsats &amp; Poäng'!C:C,"Lena Berg",'Egeninsats &amp; Poäng'!F:F,"F3")</f>
        <v>0</v>
      </c>
      <c r="K148" s="71" t="n">
        <f aca="false">IFERROR(J148/'Equity Dashboard'!E11,"")</f>
        <v>0</v>
      </c>
    </row>
    <row r="149" customFormat="false" ht="19.5" hidden="false" customHeight="true" outlineLevel="0" collapsed="false">
      <c r="B149" s="23" t="s">
        <v>74</v>
      </c>
      <c r="C149" s="72" t="str">
        <f aca="false">Projektinställningar!C27</f>
        <v>Production Fas 1</v>
      </c>
      <c r="D149" s="73" t="n">
        <f aca="false">SUMIFS('Egeninsats &amp; Poäng'!G:G,'Egeninsats &amp; Poäng'!C:C,"Lena Berg",'Egeninsats &amp; Poäng'!F:F,"F4")</f>
        <v>25</v>
      </c>
      <c r="E149" s="73" t="n">
        <f aca="false">IFERROR(SUMIFS('Egeninsats &amp; Poäng'!H:H,'Egeninsats &amp; Poäng'!C:C,"Lena Berg",'Egeninsats &amp; Poäng'!F:F,"F4")/SUMIFS('Egeninsats &amp; Poäng'!G:G,'Egeninsats &amp; Poäng'!C:C,"Lena Berg",'Egeninsats &amp; Poäng'!F:F,"F4"),"")</f>
        <v>40</v>
      </c>
      <c r="F149" s="73" t="n">
        <f aca="false">IFERROR(SUMIFS('Egeninsats &amp; Poäng'!I:I,'Egeninsats &amp; Poäng'!C:C,"Lena Berg",'Egeninsats &amp; Poäng'!F:F,"F4")/SUMIFS('Egeninsats &amp; Poäng'!G:G,'Egeninsats &amp; Poäng'!C:C,"Lena Berg",'Egeninsats &amp; Poäng'!F:F,"F4"),"")</f>
        <v>80</v>
      </c>
      <c r="G149" s="73" t="n">
        <f aca="false">SUMIFS('Egeninsats &amp; Poäng'!J:J,'Egeninsats &amp; Poäng'!C:C,"Lena Berg",'Egeninsats &amp; Poäng'!F:F,"F4")</f>
        <v>25000</v>
      </c>
      <c r="H149" s="74" t="n">
        <f aca="false">IFERROR(SUMIFS('Egeninsats &amp; Poäng'!K:K,'Egeninsats &amp; Poäng'!C:C,"Lena Berg",'Egeninsats &amp; Poäng'!F:F,"F4")/SUMIFS('Egeninsats &amp; Poäng'!G:G,'Egeninsats &amp; Poäng'!C:C,"Lena Berg",'Egeninsats &amp; Poäng'!F:F,"F4"),"")</f>
        <v>0.4</v>
      </c>
      <c r="I149" s="75" t="n">
        <f aca="false">IFERROR(SUMIFS('Egeninsats &amp; Poäng'!L:L,'Egeninsats &amp; Poäng'!C:C,"Lena Berg",'Egeninsats &amp; Poäng'!F:F,"F4")/SUMIFS('Egeninsats &amp; Poäng'!G:G,'Egeninsats &amp; Poäng'!C:C,"Lena Berg",'Egeninsats &amp; Poäng'!F:F,"F4"),"")</f>
        <v>0.06</v>
      </c>
      <c r="J149" s="76" t="n">
        <f aca="false">SUMIFS('Egeninsats &amp; Poäng'!M:M,'Egeninsats &amp; Poäng'!C:C,"Lena Berg",'Egeninsats &amp; Poäng'!F:F,"F4")</f>
        <v>375</v>
      </c>
      <c r="K149" s="77" t="n">
        <f aca="false">IFERROR(J149/'Equity Dashboard'!E11,"")</f>
        <v>1</v>
      </c>
    </row>
    <row r="150" customFormat="false" ht="19.5" hidden="false" customHeight="true" outlineLevel="0" collapsed="false">
      <c r="B150" s="18" t="s">
        <v>76</v>
      </c>
      <c r="C150" s="67" t="str">
        <f aca="false">Projektinställningar!C28</f>
        <v>Production Fas 2</v>
      </c>
      <c r="D150" s="68" t="n">
        <f aca="false">SUMIFS('Egeninsats &amp; Poäng'!G:G,'Egeninsats &amp; Poäng'!C:C,"Lena Berg",'Egeninsats &amp; Poäng'!F:F,"F5")</f>
        <v>0</v>
      </c>
      <c r="E150" s="68" t="str">
        <f aca="false">IFERROR(SUMIFS('Egeninsats &amp; Poäng'!H:H,'Egeninsats &amp; Poäng'!C:C,"Lena Berg",'Egeninsats &amp; Poäng'!F:F,"F5")/SUMIFS('Egeninsats &amp; Poäng'!G:G,'Egeninsats &amp; Poäng'!C:C,"Lena Berg",'Egeninsats &amp; Poäng'!F:F,"F5"),"")</f>
        <v/>
      </c>
      <c r="F150" s="68" t="str">
        <f aca="false">IFERROR(SUMIFS('Egeninsats &amp; Poäng'!I:I,'Egeninsats &amp; Poäng'!C:C,"Lena Berg",'Egeninsats &amp; Poäng'!F:F,"F5")/SUMIFS('Egeninsats &amp; Poäng'!G:G,'Egeninsats &amp; Poäng'!C:C,"Lena Berg",'Egeninsats &amp; Poäng'!F:F,"F5"),"")</f>
        <v/>
      </c>
      <c r="G150" s="68" t="n">
        <f aca="false">SUMIFS('Egeninsats &amp; Poäng'!J:J,'Egeninsats &amp; Poäng'!C:C,"Lena Berg",'Egeninsats &amp; Poäng'!F:F,"F5")</f>
        <v>0</v>
      </c>
      <c r="H150" s="69" t="str">
        <f aca="false">IFERROR(SUMIFS('Egeninsats &amp; Poäng'!K:K,'Egeninsats &amp; Poäng'!C:C,"Lena Berg",'Egeninsats &amp; Poäng'!F:F,"F5")/SUMIFS('Egeninsats &amp; Poäng'!G:G,'Egeninsats &amp; Poäng'!C:C,"Lena Berg",'Egeninsats &amp; Poäng'!F:F,"F5"),"")</f>
        <v/>
      </c>
      <c r="I150" s="70" t="str">
        <f aca="false">IFERROR(SUMIFS('Egeninsats &amp; Poäng'!L:L,'Egeninsats &amp; Poäng'!C:C,"Lena Berg",'Egeninsats &amp; Poäng'!F:F,"F5")/SUMIFS('Egeninsats &amp; Poäng'!G:G,'Egeninsats &amp; Poäng'!C:C,"Lena Berg",'Egeninsats &amp; Poäng'!F:F,"F5"),"")</f>
        <v/>
      </c>
      <c r="J150" s="34" t="n">
        <f aca="false">SUMIFS('Egeninsats &amp; Poäng'!M:M,'Egeninsats &amp; Poäng'!C:C,"Lena Berg",'Egeninsats &amp; Poäng'!F:F,"F5")</f>
        <v>0</v>
      </c>
      <c r="K150" s="71" t="n">
        <f aca="false">IFERROR(J150/'Equity Dashboard'!E11,"")</f>
        <v>0</v>
      </c>
    </row>
    <row r="151" customFormat="false" ht="19.5" hidden="false" customHeight="true" outlineLevel="0" collapsed="false">
      <c r="B151" s="23" t="s">
        <v>78</v>
      </c>
      <c r="C151" s="72" t="str">
        <f aca="false">Projektinställningar!C29</f>
        <v>Post-production</v>
      </c>
      <c r="D151" s="73" t="n">
        <f aca="false">SUMIFS('Egeninsats &amp; Poäng'!G:G,'Egeninsats &amp; Poäng'!C:C,"Lena Berg",'Egeninsats &amp; Poäng'!F:F,"F6")</f>
        <v>0</v>
      </c>
      <c r="E151" s="73" t="str">
        <f aca="false">IFERROR(SUMIFS('Egeninsats &amp; Poäng'!H:H,'Egeninsats &amp; Poäng'!C:C,"Lena Berg",'Egeninsats &amp; Poäng'!F:F,"F6")/SUMIFS('Egeninsats &amp; Poäng'!G:G,'Egeninsats &amp; Poäng'!C:C,"Lena Berg",'Egeninsats &amp; Poäng'!F:F,"F6"),"")</f>
        <v/>
      </c>
      <c r="F151" s="73" t="str">
        <f aca="false">IFERROR(SUMIFS('Egeninsats &amp; Poäng'!I:I,'Egeninsats &amp; Poäng'!C:C,"Lena Berg",'Egeninsats &amp; Poäng'!F:F,"F6")/SUMIFS('Egeninsats &amp; Poäng'!G:G,'Egeninsats &amp; Poäng'!C:C,"Lena Berg",'Egeninsats &amp; Poäng'!F:F,"F6"),"")</f>
        <v/>
      </c>
      <c r="G151" s="73" t="n">
        <f aca="false">SUMIFS('Egeninsats &amp; Poäng'!J:J,'Egeninsats &amp; Poäng'!C:C,"Lena Berg",'Egeninsats &amp; Poäng'!F:F,"F6")</f>
        <v>0</v>
      </c>
      <c r="H151" s="74" t="str">
        <f aca="false">IFERROR(SUMIFS('Egeninsats &amp; Poäng'!K:K,'Egeninsats &amp; Poäng'!C:C,"Lena Berg",'Egeninsats &amp; Poäng'!F:F,"F6")/SUMIFS('Egeninsats &amp; Poäng'!G:G,'Egeninsats &amp; Poäng'!C:C,"Lena Berg",'Egeninsats &amp; Poäng'!F:F,"F6"),"")</f>
        <v/>
      </c>
      <c r="I151" s="75" t="str">
        <f aca="false">IFERROR(SUMIFS('Egeninsats &amp; Poäng'!L:L,'Egeninsats &amp; Poäng'!C:C,"Lena Berg",'Egeninsats &amp; Poäng'!F:F,"F6")/SUMIFS('Egeninsats &amp; Poäng'!G:G,'Egeninsats &amp; Poäng'!C:C,"Lena Berg",'Egeninsats &amp; Poäng'!F:F,"F6"),"")</f>
        <v/>
      </c>
      <c r="J151" s="76" t="n">
        <f aca="false">SUMIFS('Egeninsats &amp; Poäng'!M:M,'Egeninsats &amp; Poäng'!C:C,"Lena Berg",'Egeninsats &amp; Poäng'!F:F,"F6")</f>
        <v>0</v>
      </c>
      <c r="K151" s="77" t="n">
        <f aca="false">IFERROR(J151/'Equity Dashboard'!E11,"")</f>
        <v>0</v>
      </c>
    </row>
    <row r="152" customFormat="false" ht="19.5" hidden="false" customHeight="true" outlineLevel="0" collapsed="false">
      <c r="B152" s="18" t="s">
        <v>80</v>
      </c>
      <c r="C152" s="67" t="str">
        <f aca="false">Projektinställningar!C30</f>
        <v>Promotion / Lansering</v>
      </c>
      <c r="D152" s="68" t="n">
        <f aca="false">SUMIFS('Egeninsats &amp; Poäng'!G:G,'Egeninsats &amp; Poäng'!C:C,"Lena Berg",'Egeninsats &amp; Poäng'!F:F,"F7")</f>
        <v>0</v>
      </c>
      <c r="E152" s="68" t="str">
        <f aca="false">IFERROR(SUMIFS('Egeninsats &amp; Poäng'!H:H,'Egeninsats &amp; Poäng'!C:C,"Lena Berg",'Egeninsats &amp; Poäng'!F:F,"F7")/SUMIFS('Egeninsats &amp; Poäng'!G:G,'Egeninsats &amp; Poäng'!C:C,"Lena Berg",'Egeninsats &amp; Poäng'!F:F,"F7"),"")</f>
        <v/>
      </c>
      <c r="F152" s="68" t="str">
        <f aca="false">IFERROR(SUMIFS('Egeninsats &amp; Poäng'!I:I,'Egeninsats &amp; Poäng'!C:C,"Lena Berg",'Egeninsats &amp; Poäng'!F:F,"F7")/SUMIFS('Egeninsats &amp; Poäng'!G:G,'Egeninsats &amp; Poäng'!C:C,"Lena Berg",'Egeninsats &amp; Poäng'!F:F,"F7"),"")</f>
        <v/>
      </c>
      <c r="G152" s="68" t="n">
        <f aca="false">SUMIFS('Egeninsats &amp; Poäng'!J:J,'Egeninsats &amp; Poäng'!C:C,"Lena Berg",'Egeninsats &amp; Poäng'!F:F,"F7")</f>
        <v>0</v>
      </c>
      <c r="H152" s="69" t="str">
        <f aca="false">IFERROR(SUMIFS('Egeninsats &amp; Poäng'!K:K,'Egeninsats &amp; Poäng'!C:C,"Lena Berg",'Egeninsats &amp; Poäng'!F:F,"F7")/SUMIFS('Egeninsats &amp; Poäng'!G:G,'Egeninsats &amp; Poäng'!C:C,"Lena Berg",'Egeninsats &amp; Poäng'!F:F,"F7"),"")</f>
        <v/>
      </c>
      <c r="I152" s="70" t="str">
        <f aca="false">IFERROR(SUMIFS('Egeninsats &amp; Poäng'!L:L,'Egeninsats &amp; Poäng'!C:C,"Lena Berg",'Egeninsats &amp; Poäng'!F:F,"F7")/SUMIFS('Egeninsats &amp; Poäng'!G:G,'Egeninsats &amp; Poäng'!C:C,"Lena Berg",'Egeninsats &amp; Poäng'!F:F,"F7"),"")</f>
        <v/>
      </c>
      <c r="J152" s="34" t="n">
        <f aca="false">SUMIFS('Egeninsats &amp; Poäng'!M:M,'Egeninsats &amp; Poäng'!C:C,"Lena Berg",'Egeninsats &amp; Poäng'!F:F,"F7")</f>
        <v>0</v>
      </c>
      <c r="K152" s="71" t="n">
        <f aca="false">IFERROR(J152/'Equity Dashboard'!E11,"")</f>
        <v>0</v>
      </c>
    </row>
    <row r="153" customFormat="false" ht="19.5" hidden="false" customHeight="true" outlineLevel="0" collapsed="false">
      <c r="B153" s="23" t="s">
        <v>82</v>
      </c>
      <c r="C153" s="72" t="str">
        <f aca="false">Projektinställningar!C31</f>
        <v>Övrigt</v>
      </c>
      <c r="D153" s="73" t="n">
        <f aca="false">SUMIFS('Egeninsats &amp; Poäng'!G:G,'Egeninsats &amp; Poäng'!C:C,"Lena Berg",'Egeninsats &amp; Poäng'!F:F,"F8")</f>
        <v>0</v>
      </c>
      <c r="E153" s="73" t="str">
        <f aca="false">IFERROR(SUMIFS('Egeninsats &amp; Poäng'!H:H,'Egeninsats &amp; Poäng'!C:C,"Lena Berg",'Egeninsats &amp; Poäng'!F:F,"F8")/SUMIFS('Egeninsats &amp; Poäng'!G:G,'Egeninsats &amp; Poäng'!C:C,"Lena Berg",'Egeninsats &amp; Poäng'!F:F,"F8"),"")</f>
        <v/>
      </c>
      <c r="F153" s="73" t="str">
        <f aca="false">IFERROR(SUMIFS('Egeninsats &amp; Poäng'!I:I,'Egeninsats &amp; Poäng'!C:C,"Lena Berg",'Egeninsats &amp; Poäng'!F:F,"F8")/SUMIFS('Egeninsats &amp; Poäng'!G:G,'Egeninsats &amp; Poäng'!C:C,"Lena Berg",'Egeninsats &amp; Poäng'!F:F,"F8"),"")</f>
        <v/>
      </c>
      <c r="G153" s="73" t="n">
        <f aca="false">SUMIFS('Egeninsats &amp; Poäng'!J:J,'Egeninsats &amp; Poäng'!C:C,"Lena Berg",'Egeninsats &amp; Poäng'!F:F,"F8")</f>
        <v>0</v>
      </c>
      <c r="H153" s="74" t="str">
        <f aca="false">IFERROR(SUMIFS('Egeninsats &amp; Poäng'!K:K,'Egeninsats &amp; Poäng'!C:C,"Lena Berg",'Egeninsats &amp; Poäng'!F:F,"F8")/SUMIFS('Egeninsats &amp; Poäng'!G:G,'Egeninsats &amp; Poäng'!C:C,"Lena Berg",'Egeninsats &amp; Poäng'!F:F,"F8"),"")</f>
        <v/>
      </c>
      <c r="I153" s="75" t="str">
        <f aca="false">IFERROR(SUMIFS('Egeninsats &amp; Poäng'!L:L,'Egeninsats &amp; Poäng'!C:C,"Lena Berg",'Egeninsats &amp; Poäng'!F:F,"F8")/SUMIFS('Egeninsats &amp; Poäng'!G:G,'Egeninsats &amp; Poäng'!C:C,"Lena Berg",'Egeninsats &amp; Poäng'!F:F,"F8"),"")</f>
        <v/>
      </c>
      <c r="J153" s="76" t="n">
        <f aca="false">SUMIFS('Egeninsats &amp; Poäng'!M:M,'Egeninsats &amp; Poäng'!C:C,"Lena Berg",'Egeninsats &amp; Poäng'!F:F,"F8")</f>
        <v>0</v>
      </c>
      <c r="K153" s="77" t="n">
        <f aca="false">IFERROR(J153/'Equity Dashboard'!E11,"")</f>
        <v>0</v>
      </c>
    </row>
    <row r="154" customFormat="false" ht="21.75" hidden="false" customHeight="true" outlineLevel="0" collapsed="false">
      <c r="B154" s="78" t="s">
        <v>136</v>
      </c>
      <c r="C154" s="78"/>
      <c r="D154" s="79" t="n">
        <f aca="false">SUM(D146:D153)</f>
        <v>25</v>
      </c>
      <c r="E154" s="80"/>
      <c r="F154" s="80"/>
      <c r="G154" s="79" t="n">
        <f aca="false">SUM(G146:G153)</f>
        <v>25000</v>
      </c>
      <c r="H154" s="80"/>
      <c r="I154" s="80"/>
      <c r="J154" s="81" t="n">
        <f aca="false">SUM(J146:J153)</f>
        <v>375</v>
      </c>
      <c r="K154" s="80"/>
    </row>
    <row r="155" customFormat="false" ht="12" hidden="false" customHeight="true" outlineLevel="0" collapsed="false"/>
    <row r="156" customFormat="false" ht="19.5" hidden="false" customHeight="true" outlineLevel="0" collapsed="false">
      <c r="B156" s="63" t="s">
        <v>265</v>
      </c>
      <c r="C156" s="63"/>
      <c r="D156" s="63"/>
      <c r="E156" s="63"/>
      <c r="F156" s="63"/>
      <c r="G156" s="63"/>
      <c r="H156" s="63"/>
      <c r="I156" s="63"/>
      <c r="J156" s="63"/>
      <c r="K156" s="63"/>
    </row>
    <row r="157" customFormat="false" ht="27.75" hidden="false" customHeight="true" outlineLevel="0" collapsed="false">
      <c r="B157" s="82" t="s">
        <v>266</v>
      </c>
      <c r="C157" s="82"/>
      <c r="D157" s="82"/>
      <c r="E157" s="82"/>
      <c r="F157" s="82"/>
      <c r="G157" s="82"/>
      <c r="H157" s="82"/>
      <c r="I157" s="82"/>
      <c r="J157" s="82"/>
      <c r="K157" s="82"/>
    </row>
    <row r="158" customFormat="false" ht="30" hidden="false" customHeight="true" outlineLevel="0" collapsed="false">
      <c r="B158" s="55" t="s">
        <v>231</v>
      </c>
      <c r="C158" s="55"/>
      <c r="D158" s="55"/>
      <c r="E158" s="55" t="s">
        <v>267</v>
      </c>
      <c r="F158" s="55"/>
      <c r="G158" s="55"/>
      <c r="H158" s="55" t="s">
        <v>233</v>
      </c>
      <c r="I158" s="55"/>
      <c r="J158" s="55"/>
    </row>
    <row r="159" customFormat="false" ht="19.5" hidden="false" customHeight="true" outlineLevel="0" collapsed="false">
      <c r="B159" s="83" t="s">
        <v>268</v>
      </c>
      <c r="C159" s="83"/>
      <c r="D159" s="83"/>
      <c r="E159" s="83" t="s">
        <v>268</v>
      </c>
      <c r="F159" s="83"/>
      <c r="G159" s="83"/>
      <c r="H159" s="83" t="s">
        <v>268</v>
      </c>
      <c r="I159" s="83"/>
      <c r="J159" s="83"/>
    </row>
    <row r="160" customFormat="false" ht="36" hidden="false" customHeight="true" outlineLevel="0" collapsed="false">
      <c r="B160" s="83" t="n">
        <f aca="false">'Waterfall Simulering'!D22</f>
        <v>0</v>
      </c>
      <c r="C160" s="83"/>
      <c r="D160" s="83"/>
      <c r="E160" s="83" t="n">
        <f aca="false">'Waterfall Simulering'!E22</f>
        <v>0</v>
      </c>
      <c r="F160" s="83"/>
      <c r="G160" s="83"/>
      <c r="H160" s="83" t="n">
        <f aca="false">'Waterfall Simulering'!F22</f>
        <v>0</v>
      </c>
      <c r="I160" s="83"/>
      <c r="J160" s="83"/>
    </row>
    <row r="161" customFormat="false" ht="12" hidden="false" customHeight="true" outlineLevel="0" collapsed="false">
      <c r="B161" s="84" t="n">
        <f aca="false">'Equity Dashboard'!F11*'Waterfall Simulering'!D22</f>
        <v>0</v>
      </c>
      <c r="E161" s="84" t="n">
        <f aca="false">'Equity Dashboard'!F11*'Waterfall Simulering'!E22</f>
        <v>0</v>
      </c>
      <c r="H161" s="84" t="n">
        <f aca="false">'Equity Dashboard'!F11*'Waterfall Simulering'!F22</f>
        <v>0</v>
      </c>
    </row>
    <row r="162" customFormat="false" ht="15.75" hidden="false" customHeight="true" outlineLevel="0" collapsed="false">
      <c r="B162" s="85" t="s">
        <v>269</v>
      </c>
      <c r="C162" s="85"/>
      <c r="D162" s="85"/>
      <c r="E162" s="85"/>
      <c r="F162" s="85"/>
      <c r="G162" s="85"/>
      <c r="H162" s="85"/>
      <c r="I162" s="85"/>
      <c r="J162" s="85"/>
      <c r="K162" s="85"/>
    </row>
    <row r="165" customFormat="false" ht="4.5" hidden="false" customHeight="true" outlineLevel="0" collapsed="false"/>
    <row r="166" customFormat="false" ht="7.5" hidden="false" customHeight="true" outlineLevel="0" collapsed="false"/>
    <row r="167" customFormat="false" ht="24" hidden="false" customHeight="true" outlineLevel="0" collapsed="false">
      <c r="B167" s="60" t="n">
        <f aca="false">Projektinställningar!C5</f>
        <v>0</v>
      </c>
      <c r="C167" s="60"/>
      <c r="D167" s="60"/>
      <c r="E167" s="60"/>
      <c r="F167" s="60"/>
      <c r="G167" s="60"/>
      <c r="H167" s="60"/>
    </row>
    <row r="168" customFormat="false" ht="18" hidden="false" customHeight="true" outlineLevel="0" collapsed="false">
      <c r="B168" s="61" t="s">
        <v>253</v>
      </c>
      <c r="C168" s="61"/>
      <c r="D168" s="61"/>
      <c r="E168" s="61"/>
      <c r="F168" s="61"/>
      <c r="G168" s="61"/>
      <c r="H168" s="61"/>
    </row>
    <row r="169" customFormat="false" ht="6" hidden="false" customHeight="true" outlineLevel="0" collapsed="false">
      <c r="B169" s="4"/>
      <c r="C169" s="4"/>
      <c r="D169" s="4"/>
      <c r="E169" s="4"/>
      <c r="F169" s="4"/>
      <c r="G169" s="4"/>
      <c r="H169" s="4"/>
      <c r="I169" s="4"/>
      <c r="J169" s="4"/>
      <c r="K169" s="4"/>
    </row>
    <row r="170" customFormat="false" ht="9.75" hidden="false" customHeight="true" outlineLevel="0" collapsed="false"/>
    <row r="171" customFormat="false" ht="27.75" hidden="false" customHeight="true" outlineLevel="0" collapsed="false">
      <c r="B171" s="2" t="s">
        <v>120</v>
      </c>
      <c r="C171" s="2"/>
      <c r="D171" s="2"/>
      <c r="E171" s="2"/>
      <c r="F171" s="2"/>
    </row>
    <row r="172" customFormat="false" ht="18" hidden="false" customHeight="true" outlineLevel="0" collapsed="false">
      <c r="B172" s="62" t="s">
        <v>121</v>
      </c>
      <c r="C172" s="62"/>
      <c r="D172" s="62"/>
      <c r="E172" s="62"/>
      <c r="F172" s="62"/>
    </row>
    <row r="173" customFormat="false" ht="7.5" hidden="false" customHeight="true" outlineLevel="0" collapsed="false"/>
    <row r="174" customFormat="false" ht="18" hidden="false" customHeight="true" outlineLevel="0" collapsed="false">
      <c r="B174" s="63" t="s">
        <v>254</v>
      </c>
      <c r="C174" s="63"/>
      <c r="D174" s="63"/>
      <c r="E174" s="63" t="s">
        <v>255</v>
      </c>
      <c r="F174" s="63"/>
      <c r="G174" s="63"/>
      <c r="H174" s="63" t="s">
        <v>256</v>
      </c>
      <c r="I174" s="63"/>
      <c r="J174" s="63"/>
    </row>
    <row r="175" customFormat="false" ht="31.5" hidden="false" customHeight="true" outlineLevel="0" collapsed="false">
      <c r="B175" s="64" t="n">
        <f aca="false">'Equity Dashboard'!D12</f>
        <v>33000</v>
      </c>
      <c r="C175" s="64"/>
      <c r="D175" s="64"/>
      <c r="E175" s="65" t="n">
        <f aca="false">'Equity Dashboard'!E12</f>
        <v>450</v>
      </c>
      <c r="F175" s="65"/>
      <c r="G175" s="65"/>
      <c r="H175" s="66" t="n">
        <f aca="false">'Equity Dashboard'!F12</f>
        <v>0.0499306518723994</v>
      </c>
      <c r="I175" s="66"/>
      <c r="J175" s="66"/>
    </row>
    <row r="176" customFormat="false" ht="12" hidden="false" customHeight="true" outlineLevel="0" collapsed="false"/>
    <row r="177" customFormat="false" ht="19.5" hidden="false" customHeight="true" outlineLevel="0" collapsed="false">
      <c r="B177" s="63" t="s">
        <v>257</v>
      </c>
      <c r="C177" s="63"/>
      <c r="D177" s="63"/>
      <c r="E177" s="63"/>
      <c r="F177" s="63"/>
      <c r="G177" s="63"/>
      <c r="H177" s="63"/>
      <c r="I177" s="63"/>
      <c r="J177" s="63"/>
      <c r="K177" s="63"/>
    </row>
    <row r="178" customFormat="false" ht="30" hidden="false" customHeight="true" outlineLevel="0" collapsed="false">
      <c r="B178" s="49" t="s">
        <v>59</v>
      </c>
      <c r="C178" s="49" t="s">
        <v>60</v>
      </c>
      <c r="D178" s="49" t="s">
        <v>102</v>
      </c>
      <c r="E178" s="49" t="s">
        <v>258</v>
      </c>
      <c r="F178" s="49" t="s">
        <v>259</v>
      </c>
      <c r="G178" s="49" t="s">
        <v>260</v>
      </c>
      <c r="H178" s="49" t="s">
        <v>261</v>
      </c>
      <c r="I178" s="49" t="s">
        <v>262</v>
      </c>
      <c r="J178" s="49" t="s">
        <v>263</v>
      </c>
      <c r="K178" s="49" t="s">
        <v>264</v>
      </c>
    </row>
    <row r="179" customFormat="false" ht="19.5" hidden="false" customHeight="true" outlineLevel="0" collapsed="false">
      <c r="B179" s="18" t="s">
        <v>66</v>
      </c>
      <c r="C179" s="67" t="str">
        <f aca="false">Projektinställningar!C24</f>
        <v>Development</v>
      </c>
      <c r="D179" s="68" t="n">
        <f aca="false">SUMIFS('Egeninsats &amp; Poäng'!G:G,'Egeninsats &amp; Poäng'!C:C,"Johan Ek",'Egeninsats &amp; Poäng'!F:F,"F1")</f>
        <v>0</v>
      </c>
      <c r="E179" s="68" t="str">
        <f aca="false">IFERROR(SUMIFS('Egeninsats &amp; Poäng'!H:H,'Egeninsats &amp; Poäng'!C:C,"Johan Ek",'Egeninsats &amp; Poäng'!F:F,"F1")/SUMIFS('Egeninsats &amp; Poäng'!G:G,'Egeninsats &amp; Poäng'!C:C,"Johan Ek",'Egeninsats &amp; Poäng'!F:F,"F1"),"")</f>
        <v/>
      </c>
      <c r="F179" s="68" t="str">
        <f aca="false">IFERROR(SUMIFS('Egeninsats &amp; Poäng'!I:I,'Egeninsats &amp; Poäng'!C:C,"Johan Ek",'Egeninsats &amp; Poäng'!F:F,"F1")/SUMIFS('Egeninsats &amp; Poäng'!G:G,'Egeninsats &amp; Poäng'!C:C,"Johan Ek",'Egeninsats &amp; Poäng'!F:F,"F1"),"")</f>
        <v/>
      </c>
      <c r="G179" s="68" t="n">
        <f aca="false">SUMIFS('Egeninsats &amp; Poäng'!J:J,'Egeninsats &amp; Poäng'!C:C,"Johan Ek",'Egeninsats &amp; Poäng'!F:F,"F1")</f>
        <v>0</v>
      </c>
      <c r="H179" s="69" t="str">
        <f aca="false">IFERROR(SUMIFS('Egeninsats &amp; Poäng'!K:K,'Egeninsats &amp; Poäng'!C:C,"Johan Ek",'Egeninsats &amp; Poäng'!F:F,"F1")/SUMIFS('Egeninsats &amp; Poäng'!G:G,'Egeninsats &amp; Poäng'!C:C,"Johan Ek",'Egeninsats &amp; Poäng'!F:F,"F1"),"")</f>
        <v/>
      </c>
      <c r="I179" s="70" t="str">
        <f aca="false">IFERROR(SUMIFS('Egeninsats &amp; Poäng'!L:L,'Egeninsats &amp; Poäng'!C:C,"Johan Ek",'Egeninsats &amp; Poäng'!F:F,"F1")/SUMIFS('Egeninsats &amp; Poäng'!G:G,'Egeninsats &amp; Poäng'!C:C,"Johan Ek",'Egeninsats &amp; Poäng'!F:F,"F1"),"")</f>
        <v/>
      </c>
      <c r="J179" s="34" t="n">
        <f aca="false">SUMIFS('Egeninsats &amp; Poäng'!M:M,'Egeninsats &amp; Poäng'!C:C,"Johan Ek",'Egeninsats &amp; Poäng'!F:F,"F1")</f>
        <v>0</v>
      </c>
      <c r="K179" s="71" t="n">
        <f aca="false">IFERROR(J179/'Equity Dashboard'!E12,"")</f>
        <v>0</v>
      </c>
    </row>
    <row r="180" customFormat="false" ht="19.5" hidden="false" customHeight="true" outlineLevel="0" collapsed="false">
      <c r="B180" s="23" t="s">
        <v>69</v>
      </c>
      <c r="C180" s="72" t="str">
        <f aca="false">Projektinställningar!C25</f>
        <v>Pre-production</v>
      </c>
      <c r="D180" s="73" t="n">
        <f aca="false">SUMIFS('Egeninsats &amp; Poäng'!G:G,'Egeninsats &amp; Poäng'!C:C,"Johan Ek",'Egeninsats &amp; Poäng'!F:F,"F2")</f>
        <v>0</v>
      </c>
      <c r="E180" s="73" t="str">
        <f aca="false">IFERROR(SUMIFS('Egeninsats &amp; Poäng'!H:H,'Egeninsats &amp; Poäng'!C:C,"Johan Ek",'Egeninsats &amp; Poäng'!F:F,"F2")/SUMIFS('Egeninsats &amp; Poäng'!G:G,'Egeninsats &amp; Poäng'!C:C,"Johan Ek",'Egeninsats &amp; Poäng'!F:F,"F2"),"")</f>
        <v/>
      </c>
      <c r="F180" s="73" t="str">
        <f aca="false">IFERROR(SUMIFS('Egeninsats &amp; Poäng'!I:I,'Egeninsats &amp; Poäng'!C:C,"Johan Ek",'Egeninsats &amp; Poäng'!F:F,"F2")/SUMIFS('Egeninsats &amp; Poäng'!G:G,'Egeninsats &amp; Poäng'!C:C,"Johan Ek",'Egeninsats &amp; Poäng'!F:F,"F2"),"")</f>
        <v/>
      </c>
      <c r="G180" s="73" t="n">
        <f aca="false">SUMIFS('Egeninsats &amp; Poäng'!J:J,'Egeninsats &amp; Poäng'!C:C,"Johan Ek",'Egeninsats &amp; Poäng'!F:F,"F2")</f>
        <v>0</v>
      </c>
      <c r="H180" s="74" t="str">
        <f aca="false">IFERROR(SUMIFS('Egeninsats &amp; Poäng'!K:K,'Egeninsats &amp; Poäng'!C:C,"Johan Ek",'Egeninsats &amp; Poäng'!F:F,"F2")/SUMIFS('Egeninsats &amp; Poäng'!G:G,'Egeninsats &amp; Poäng'!C:C,"Johan Ek",'Egeninsats &amp; Poäng'!F:F,"F2"),"")</f>
        <v/>
      </c>
      <c r="I180" s="75" t="str">
        <f aca="false">IFERROR(SUMIFS('Egeninsats &amp; Poäng'!L:L,'Egeninsats &amp; Poäng'!C:C,"Johan Ek",'Egeninsats &amp; Poäng'!F:F,"F2")/SUMIFS('Egeninsats &amp; Poäng'!G:G,'Egeninsats &amp; Poäng'!C:C,"Johan Ek",'Egeninsats &amp; Poäng'!F:F,"F2"),"")</f>
        <v/>
      </c>
      <c r="J180" s="76" t="n">
        <f aca="false">SUMIFS('Egeninsats &amp; Poäng'!M:M,'Egeninsats &amp; Poäng'!C:C,"Johan Ek",'Egeninsats &amp; Poäng'!F:F,"F2")</f>
        <v>0</v>
      </c>
      <c r="K180" s="77" t="n">
        <f aca="false">IFERROR(J180/'Equity Dashboard'!E12,"")</f>
        <v>0</v>
      </c>
    </row>
    <row r="181" customFormat="false" ht="19.5" hidden="false" customHeight="true" outlineLevel="0" collapsed="false">
      <c r="B181" s="18" t="s">
        <v>71</v>
      </c>
      <c r="C181" s="67" t="str">
        <f aca="false">Projektinställningar!C26</f>
        <v>Pilot / Testinsp.</v>
      </c>
      <c r="D181" s="68" t="n">
        <f aca="false">SUMIFS('Egeninsats &amp; Poäng'!G:G,'Egeninsats &amp; Poäng'!C:C,"Johan Ek",'Egeninsats &amp; Poäng'!F:F,"F3")</f>
        <v>0</v>
      </c>
      <c r="E181" s="68" t="str">
        <f aca="false">IFERROR(SUMIFS('Egeninsats &amp; Poäng'!H:H,'Egeninsats &amp; Poäng'!C:C,"Johan Ek",'Egeninsats &amp; Poäng'!F:F,"F3")/SUMIFS('Egeninsats &amp; Poäng'!G:G,'Egeninsats &amp; Poäng'!C:C,"Johan Ek",'Egeninsats &amp; Poäng'!F:F,"F3"),"")</f>
        <v/>
      </c>
      <c r="F181" s="68" t="str">
        <f aca="false">IFERROR(SUMIFS('Egeninsats &amp; Poäng'!I:I,'Egeninsats &amp; Poäng'!C:C,"Johan Ek",'Egeninsats &amp; Poäng'!F:F,"F3")/SUMIFS('Egeninsats &amp; Poäng'!G:G,'Egeninsats &amp; Poäng'!C:C,"Johan Ek",'Egeninsats &amp; Poäng'!F:F,"F3"),"")</f>
        <v/>
      </c>
      <c r="G181" s="68" t="n">
        <f aca="false">SUMIFS('Egeninsats &amp; Poäng'!J:J,'Egeninsats &amp; Poäng'!C:C,"Johan Ek",'Egeninsats &amp; Poäng'!F:F,"F3")</f>
        <v>0</v>
      </c>
      <c r="H181" s="69" t="str">
        <f aca="false">IFERROR(SUMIFS('Egeninsats &amp; Poäng'!K:K,'Egeninsats &amp; Poäng'!C:C,"Johan Ek",'Egeninsats &amp; Poäng'!F:F,"F3")/SUMIFS('Egeninsats &amp; Poäng'!G:G,'Egeninsats &amp; Poäng'!C:C,"Johan Ek",'Egeninsats &amp; Poäng'!F:F,"F3"),"")</f>
        <v/>
      </c>
      <c r="I181" s="70" t="str">
        <f aca="false">IFERROR(SUMIFS('Egeninsats &amp; Poäng'!L:L,'Egeninsats &amp; Poäng'!C:C,"Johan Ek",'Egeninsats &amp; Poäng'!F:F,"F3")/SUMIFS('Egeninsats &amp; Poäng'!G:G,'Egeninsats &amp; Poäng'!C:C,"Johan Ek",'Egeninsats &amp; Poäng'!F:F,"F3"),"")</f>
        <v/>
      </c>
      <c r="J181" s="34" t="n">
        <f aca="false">SUMIFS('Egeninsats &amp; Poäng'!M:M,'Egeninsats &amp; Poäng'!C:C,"Johan Ek",'Egeninsats &amp; Poäng'!F:F,"F3")</f>
        <v>0</v>
      </c>
      <c r="K181" s="71" t="n">
        <f aca="false">IFERROR(J181/'Equity Dashboard'!E12,"")</f>
        <v>0</v>
      </c>
    </row>
    <row r="182" customFormat="false" ht="19.5" hidden="false" customHeight="true" outlineLevel="0" collapsed="false">
      <c r="B182" s="23" t="s">
        <v>74</v>
      </c>
      <c r="C182" s="72" t="str">
        <f aca="false">Projektinställningar!C27</f>
        <v>Production Fas 1</v>
      </c>
      <c r="D182" s="73" t="n">
        <f aca="false">SUMIFS('Egeninsats &amp; Poäng'!G:G,'Egeninsats &amp; Poäng'!C:C,"Johan Ek",'Egeninsats &amp; Poäng'!F:F,"F4")</f>
        <v>0</v>
      </c>
      <c r="E182" s="73" t="str">
        <f aca="false">IFERROR(SUMIFS('Egeninsats &amp; Poäng'!H:H,'Egeninsats &amp; Poäng'!C:C,"Johan Ek",'Egeninsats &amp; Poäng'!F:F,"F4")/SUMIFS('Egeninsats &amp; Poäng'!G:G,'Egeninsats &amp; Poäng'!C:C,"Johan Ek",'Egeninsats &amp; Poäng'!F:F,"F4"),"")</f>
        <v/>
      </c>
      <c r="F182" s="73" t="str">
        <f aca="false">IFERROR(SUMIFS('Egeninsats &amp; Poäng'!I:I,'Egeninsats &amp; Poäng'!C:C,"Johan Ek",'Egeninsats &amp; Poäng'!F:F,"F4")/SUMIFS('Egeninsats &amp; Poäng'!G:G,'Egeninsats &amp; Poäng'!C:C,"Johan Ek",'Egeninsats &amp; Poäng'!F:F,"F4"),"")</f>
        <v/>
      </c>
      <c r="G182" s="73" t="n">
        <f aca="false">SUMIFS('Egeninsats &amp; Poäng'!J:J,'Egeninsats &amp; Poäng'!C:C,"Johan Ek",'Egeninsats &amp; Poäng'!F:F,"F4")</f>
        <v>0</v>
      </c>
      <c r="H182" s="74" t="str">
        <f aca="false">IFERROR(SUMIFS('Egeninsats &amp; Poäng'!K:K,'Egeninsats &amp; Poäng'!C:C,"Johan Ek",'Egeninsats &amp; Poäng'!F:F,"F4")/SUMIFS('Egeninsats &amp; Poäng'!G:G,'Egeninsats &amp; Poäng'!C:C,"Johan Ek",'Egeninsats &amp; Poäng'!F:F,"F4"),"")</f>
        <v/>
      </c>
      <c r="I182" s="75" t="str">
        <f aca="false">IFERROR(SUMIFS('Egeninsats &amp; Poäng'!L:L,'Egeninsats &amp; Poäng'!C:C,"Johan Ek",'Egeninsats &amp; Poäng'!F:F,"F4")/SUMIFS('Egeninsats &amp; Poäng'!G:G,'Egeninsats &amp; Poäng'!C:C,"Johan Ek",'Egeninsats &amp; Poäng'!F:F,"F4"),"")</f>
        <v/>
      </c>
      <c r="J182" s="76" t="n">
        <f aca="false">SUMIFS('Egeninsats &amp; Poäng'!M:M,'Egeninsats &amp; Poäng'!C:C,"Johan Ek",'Egeninsats &amp; Poäng'!F:F,"F4")</f>
        <v>0</v>
      </c>
      <c r="K182" s="77" t="n">
        <f aca="false">IFERROR(J182/'Equity Dashboard'!E12,"")</f>
        <v>0</v>
      </c>
    </row>
    <row r="183" customFormat="false" ht="19.5" hidden="false" customHeight="true" outlineLevel="0" collapsed="false">
      <c r="B183" s="18" t="s">
        <v>76</v>
      </c>
      <c r="C183" s="67" t="str">
        <f aca="false">Projektinställningar!C28</f>
        <v>Production Fas 2</v>
      </c>
      <c r="D183" s="68" t="n">
        <f aca="false">SUMIFS('Egeninsats &amp; Poäng'!G:G,'Egeninsats &amp; Poäng'!C:C,"Johan Ek",'Egeninsats &amp; Poäng'!F:F,"F5")</f>
        <v>0</v>
      </c>
      <c r="E183" s="68" t="str">
        <f aca="false">IFERROR(SUMIFS('Egeninsats &amp; Poäng'!H:H,'Egeninsats &amp; Poäng'!C:C,"Johan Ek",'Egeninsats &amp; Poäng'!F:F,"F5")/SUMIFS('Egeninsats &amp; Poäng'!G:G,'Egeninsats &amp; Poäng'!C:C,"Johan Ek",'Egeninsats &amp; Poäng'!F:F,"F5"),"")</f>
        <v/>
      </c>
      <c r="F183" s="68" t="str">
        <f aca="false">IFERROR(SUMIFS('Egeninsats &amp; Poäng'!I:I,'Egeninsats &amp; Poäng'!C:C,"Johan Ek",'Egeninsats &amp; Poäng'!F:F,"F5")/SUMIFS('Egeninsats &amp; Poäng'!G:G,'Egeninsats &amp; Poäng'!C:C,"Johan Ek",'Egeninsats &amp; Poäng'!F:F,"F5"),"")</f>
        <v/>
      </c>
      <c r="G183" s="68" t="n">
        <f aca="false">SUMIFS('Egeninsats &amp; Poäng'!J:J,'Egeninsats &amp; Poäng'!C:C,"Johan Ek",'Egeninsats &amp; Poäng'!F:F,"F5")</f>
        <v>0</v>
      </c>
      <c r="H183" s="69" t="str">
        <f aca="false">IFERROR(SUMIFS('Egeninsats &amp; Poäng'!K:K,'Egeninsats &amp; Poäng'!C:C,"Johan Ek",'Egeninsats &amp; Poäng'!F:F,"F5")/SUMIFS('Egeninsats &amp; Poäng'!G:G,'Egeninsats &amp; Poäng'!C:C,"Johan Ek",'Egeninsats &amp; Poäng'!F:F,"F5"),"")</f>
        <v/>
      </c>
      <c r="I183" s="70" t="str">
        <f aca="false">IFERROR(SUMIFS('Egeninsats &amp; Poäng'!L:L,'Egeninsats &amp; Poäng'!C:C,"Johan Ek",'Egeninsats &amp; Poäng'!F:F,"F5")/SUMIFS('Egeninsats &amp; Poäng'!G:G,'Egeninsats &amp; Poäng'!C:C,"Johan Ek",'Egeninsats &amp; Poäng'!F:F,"F5"),"")</f>
        <v/>
      </c>
      <c r="J183" s="34" t="n">
        <f aca="false">SUMIFS('Egeninsats &amp; Poäng'!M:M,'Egeninsats &amp; Poäng'!C:C,"Johan Ek",'Egeninsats &amp; Poäng'!F:F,"F5")</f>
        <v>0</v>
      </c>
      <c r="K183" s="71" t="n">
        <f aca="false">IFERROR(J183/'Equity Dashboard'!E12,"")</f>
        <v>0</v>
      </c>
    </row>
    <row r="184" customFormat="false" ht="19.5" hidden="false" customHeight="true" outlineLevel="0" collapsed="false">
      <c r="B184" s="23" t="s">
        <v>78</v>
      </c>
      <c r="C184" s="72" t="str">
        <f aca="false">Projektinställningar!C29</f>
        <v>Post-production</v>
      </c>
      <c r="D184" s="73" t="n">
        <f aca="false">SUMIFS('Egeninsats &amp; Poäng'!G:G,'Egeninsats &amp; Poäng'!C:C,"Johan Ek",'Egeninsats &amp; Poäng'!F:F,"F6")</f>
        <v>30</v>
      </c>
      <c r="E184" s="73" t="n">
        <f aca="false">IFERROR(SUMIFS('Egeninsats &amp; Poäng'!H:H,'Egeninsats &amp; Poäng'!C:C,"Johan Ek",'Egeninsats &amp; Poäng'!F:F,"F6")/SUMIFS('Egeninsats &amp; Poäng'!G:G,'Egeninsats &amp; Poäng'!C:C,"Johan Ek",'Egeninsats &amp; Poäng'!F:F,"F6"),"")</f>
        <v>30</v>
      </c>
      <c r="F184" s="73" t="n">
        <f aca="false">IFERROR(SUMIFS('Egeninsats &amp; Poäng'!I:I,'Egeninsats &amp; Poäng'!C:C,"Johan Ek",'Egeninsats &amp; Poäng'!F:F,"F6")/SUMIFS('Egeninsats &amp; Poäng'!G:G,'Egeninsats &amp; Poäng'!C:C,"Johan Ek",'Egeninsats &amp; Poäng'!F:F,"F6"),"")</f>
        <v>66.6666666666667</v>
      </c>
      <c r="G184" s="73" t="n">
        <f aca="false">SUMIFS('Egeninsats &amp; Poäng'!J:J,'Egeninsats &amp; Poäng'!C:C,"Johan Ek",'Egeninsats &amp; Poäng'!F:F,"F6")</f>
        <v>33000</v>
      </c>
      <c r="H184" s="74" t="n">
        <f aca="false">IFERROR(SUMIFS('Egeninsats &amp; Poäng'!K:K,'Egeninsats &amp; Poäng'!C:C,"Johan Ek",'Egeninsats &amp; Poäng'!F:F,"F6")/SUMIFS('Egeninsats &amp; Poäng'!G:G,'Egeninsats &amp; Poäng'!C:C,"Johan Ek",'Egeninsats &amp; Poäng'!F:F,"F6"),"")</f>
        <v>0.333333333333333</v>
      </c>
      <c r="I184" s="75" t="n">
        <f aca="false">IFERROR(SUMIFS('Egeninsats &amp; Poäng'!L:L,'Egeninsats &amp; Poäng'!C:C,"Johan Ek",'Egeninsats &amp; Poäng'!F:F,"F6")/SUMIFS('Egeninsats &amp; Poäng'!G:G,'Egeninsats &amp; Poäng'!C:C,"Johan Ek",'Egeninsats &amp; Poäng'!F:F,"F6"),"")</f>
        <v>0.05</v>
      </c>
      <c r="J184" s="76" t="n">
        <f aca="false">SUMIFS('Egeninsats &amp; Poäng'!M:M,'Egeninsats &amp; Poäng'!C:C,"Johan Ek",'Egeninsats &amp; Poäng'!F:F,"F6")</f>
        <v>450</v>
      </c>
      <c r="K184" s="77" t="n">
        <f aca="false">IFERROR(J184/'Equity Dashboard'!E12,"")</f>
        <v>1</v>
      </c>
    </row>
    <row r="185" customFormat="false" ht="19.5" hidden="false" customHeight="true" outlineLevel="0" collapsed="false">
      <c r="B185" s="18" t="s">
        <v>80</v>
      </c>
      <c r="C185" s="67" t="str">
        <f aca="false">Projektinställningar!C30</f>
        <v>Promotion / Lansering</v>
      </c>
      <c r="D185" s="68" t="n">
        <f aca="false">SUMIFS('Egeninsats &amp; Poäng'!G:G,'Egeninsats &amp; Poäng'!C:C,"Johan Ek",'Egeninsats &amp; Poäng'!F:F,"F7")</f>
        <v>0</v>
      </c>
      <c r="E185" s="68" t="str">
        <f aca="false">IFERROR(SUMIFS('Egeninsats &amp; Poäng'!H:H,'Egeninsats &amp; Poäng'!C:C,"Johan Ek",'Egeninsats &amp; Poäng'!F:F,"F7")/SUMIFS('Egeninsats &amp; Poäng'!G:G,'Egeninsats &amp; Poäng'!C:C,"Johan Ek",'Egeninsats &amp; Poäng'!F:F,"F7"),"")</f>
        <v/>
      </c>
      <c r="F185" s="68" t="str">
        <f aca="false">IFERROR(SUMIFS('Egeninsats &amp; Poäng'!I:I,'Egeninsats &amp; Poäng'!C:C,"Johan Ek",'Egeninsats &amp; Poäng'!F:F,"F7")/SUMIFS('Egeninsats &amp; Poäng'!G:G,'Egeninsats &amp; Poäng'!C:C,"Johan Ek",'Egeninsats &amp; Poäng'!F:F,"F7"),"")</f>
        <v/>
      </c>
      <c r="G185" s="68" t="n">
        <f aca="false">SUMIFS('Egeninsats &amp; Poäng'!J:J,'Egeninsats &amp; Poäng'!C:C,"Johan Ek",'Egeninsats &amp; Poäng'!F:F,"F7")</f>
        <v>0</v>
      </c>
      <c r="H185" s="69" t="str">
        <f aca="false">IFERROR(SUMIFS('Egeninsats &amp; Poäng'!K:K,'Egeninsats &amp; Poäng'!C:C,"Johan Ek",'Egeninsats &amp; Poäng'!F:F,"F7")/SUMIFS('Egeninsats &amp; Poäng'!G:G,'Egeninsats &amp; Poäng'!C:C,"Johan Ek",'Egeninsats &amp; Poäng'!F:F,"F7"),"")</f>
        <v/>
      </c>
      <c r="I185" s="70" t="str">
        <f aca="false">IFERROR(SUMIFS('Egeninsats &amp; Poäng'!L:L,'Egeninsats &amp; Poäng'!C:C,"Johan Ek",'Egeninsats &amp; Poäng'!F:F,"F7")/SUMIFS('Egeninsats &amp; Poäng'!G:G,'Egeninsats &amp; Poäng'!C:C,"Johan Ek",'Egeninsats &amp; Poäng'!F:F,"F7"),"")</f>
        <v/>
      </c>
      <c r="J185" s="34" t="n">
        <f aca="false">SUMIFS('Egeninsats &amp; Poäng'!M:M,'Egeninsats &amp; Poäng'!C:C,"Johan Ek",'Egeninsats &amp; Poäng'!F:F,"F7")</f>
        <v>0</v>
      </c>
      <c r="K185" s="71" t="n">
        <f aca="false">IFERROR(J185/'Equity Dashboard'!E12,"")</f>
        <v>0</v>
      </c>
    </row>
    <row r="186" customFormat="false" ht="19.5" hidden="false" customHeight="true" outlineLevel="0" collapsed="false">
      <c r="B186" s="23" t="s">
        <v>82</v>
      </c>
      <c r="C186" s="72" t="str">
        <f aca="false">Projektinställningar!C31</f>
        <v>Övrigt</v>
      </c>
      <c r="D186" s="73" t="n">
        <f aca="false">SUMIFS('Egeninsats &amp; Poäng'!G:G,'Egeninsats &amp; Poäng'!C:C,"Johan Ek",'Egeninsats &amp; Poäng'!F:F,"F8")</f>
        <v>0</v>
      </c>
      <c r="E186" s="73" t="str">
        <f aca="false">IFERROR(SUMIFS('Egeninsats &amp; Poäng'!H:H,'Egeninsats &amp; Poäng'!C:C,"Johan Ek",'Egeninsats &amp; Poäng'!F:F,"F8")/SUMIFS('Egeninsats &amp; Poäng'!G:G,'Egeninsats &amp; Poäng'!C:C,"Johan Ek",'Egeninsats &amp; Poäng'!F:F,"F8"),"")</f>
        <v/>
      </c>
      <c r="F186" s="73" t="str">
        <f aca="false">IFERROR(SUMIFS('Egeninsats &amp; Poäng'!I:I,'Egeninsats &amp; Poäng'!C:C,"Johan Ek",'Egeninsats &amp; Poäng'!F:F,"F8")/SUMIFS('Egeninsats &amp; Poäng'!G:G,'Egeninsats &amp; Poäng'!C:C,"Johan Ek",'Egeninsats &amp; Poäng'!F:F,"F8"),"")</f>
        <v/>
      </c>
      <c r="G186" s="73" t="n">
        <f aca="false">SUMIFS('Egeninsats &amp; Poäng'!J:J,'Egeninsats &amp; Poäng'!C:C,"Johan Ek",'Egeninsats &amp; Poäng'!F:F,"F8")</f>
        <v>0</v>
      </c>
      <c r="H186" s="74" t="str">
        <f aca="false">IFERROR(SUMIFS('Egeninsats &amp; Poäng'!K:K,'Egeninsats &amp; Poäng'!C:C,"Johan Ek",'Egeninsats &amp; Poäng'!F:F,"F8")/SUMIFS('Egeninsats &amp; Poäng'!G:G,'Egeninsats &amp; Poäng'!C:C,"Johan Ek",'Egeninsats &amp; Poäng'!F:F,"F8"),"")</f>
        <v/>
      </c>
      <c r="I186" s="75" t="str">
        <f aca="false">IFERROR(SUMIFS('Egeninsats &amp; Poäng'!L:L,'Egeninsats &amp; Poäng'!C:C,"Johan Ek",'Egeninsats &amp; Poäng'!F:F,"F8")/SUMIFS('Egeninsats &amp; Poäng'!G:G,'Egeninsats &amp; Poäng'!C:C,"Johan Ek",'Egeninsats &amp; Poäng'!F:F,"F8"),"")</f>
        <v/>
      </c>
      <c r="J186" s="76" t="n">
        <f aca="false">SUMIFS('Egeninsats &amp; Poäng'!M:M,'Egeninsats &amp; Poäng'!C:C,"Johan Ek",'Egeninsats &amp; Poäng'!F:F,"F8")</f>
        <v>0</v>
      </c>
      <c r="K186" s="77" t="n">
        <f aca="false">IFERROR(J186/'Equity Dashboard'!E12,"")</f>
        <v>0</v>
      </c>
    </row>
    <row r="187" customFormat="false" ht="21.75" hidden="false" customHeight="true" outlineLevel="0" collapsed="false">
      <c r="B187" s="78" t="s">
        <v>136</v>
      </c>
      <c r="C187" s="78"/>
      <c r="D187" s="79" t="n">
        <f aca="false">SUM(D179:D186)</f>
        <v>30</v>
      </c>
      <c r="E187" s="80"/>
      <c r="F187" s="80"/>
      <c r="G187" s="79" t="n">
        <f aca="false">SUM(G179:G186)</f>
        <v>33000</v>
      </c>
      <c r="H187" s="80"/>
      <c r="I187" s="80"/>
      <c r="J187" s="81" t="n">
        <f aca="false">SUM(J179:J186)</f>
        <v>450</v>
      </c>
      <c r="K187" s="80"/>
    </row>
    <row r="188" customFormat="false" ht="12" hidden="false" customHeight="true" outlineLevel="0" collapsed="false"/>
    <row r="189" customFormat="false" ht="19.5" hidden="false" customHeight="true" outlineLevel="0" collapsed="false">
      <c r="B189" s="63" t="s">
        <v>265</v>
      </c>
      <c r="C189" s="63"/>
      <c r="D189" s="63"/>
      <c r="E189" s="63"/>
      <c r="F189" s="63"/>
      <c r="G189" s="63"/>
      <c r="H189" s="63"/>
      <c r="I189" s="63"/>
      <c r="J189" s="63"/>
      <c r="K189" s="63"/>
    </row>
    <row r="190" customFormat="false" ht="27.75" hidden="false" customHeight="true" outlineLevel="0" collapsed="false">
      <c r="B190" s="82" t="s">
        <v>266</v>
      </c>
      <c r="C190" s="82"/>
      <c r="D190" s="82"/>
      <c r="E190" s="82"/>
      <c r="F190" s="82"/>
      <c r="G190" s="82"/>
      <c r="H190" s="82"/>
      <c r="I190" s="82"/>
      <c r="J190" s="82"/>
      <c r="K190" s="82"/>
    </row>
    <row r="191" customFormat="false" ht="30" hidden="false" customHeight="true" outlineLevel="0" collapsed="false">
      <c r="B191" s="55" t="s">
        <v>231</v>
      </c>
      <c r="C191" s="55"/>
      <c r="D191" s="55"/>
      <c r="E191" s="55" t="s">
        <v>267</v>
      </c>
      <c r="F191" s="55"/>
      <c r="G191" s="55"/>
      <c r="H191" s="55" t="s">
        <v>233</v>
      </c>
      <c r="I191" s="55"/>
      <c r="J191" s="55"/>
    </row>
    <row r="192" customFormat="false" ht="19.5" hidden="false" customHeight="true" outlineLevel="0" collapsed="false">
      <c r="B192" s="83" t="s">
        <v>268</v>
      </c>
      <c r="C192" s="83"/>
      <c r="D192" s="83"/>
      <c r="E192" s="83" t="s">
        <v>268</v>
      </c>
      <c r="F192" s="83"/>
      <c r="G192" s="83"/>
      <c r="H192" s="83" t="s">
        <v>268</v>
      </c>
      <c r="I192" s="83"/>
      <c r="J192" s="83"/>
    </row>
    <row r="193" customFormat="false" ht="36" hidden="false" customHeight="true" outlineLevel="0" collapsed="false">
      <c r="B193" s="83" t="n">
        <f aca="false">'Waterfall Simulering'!D22</f>
        <v>0</v>
      </c>
      <c r="C193" s="83"/>
      <c r="D193" s="83"/>
      <c r="E193" s="83" t="n">
        <f aca="false">'Waterfall Simulering'!E22</f>
        <v>0</v>
      </c>
      <c r="F193" s="83"/>
      <c r="G193" s="83"/>
      <c r="H193" s="83" t="n">
        <f aca="false">'Waterfall Simulering'!F22</f>
        <v>0</v>
      </c>
      <c r="I193" s="83"/>
      <c r="J193" s="83"/>
    </row>
    <row r="194" customFormat="false" ht="12" hidden="false" customHeight="true" outlineLevel="0" collapsed="false">
      <c r="B194" s="84" t="n">
        <f aca="false">'Equity Dashboard'!F12*'Waterfall Simulering'!D22</f>
        <v>0</v>
      </c>
      <c r="E194" s="84" t="n">
        <f aca="false">'Equity Dashboard'!F12*'Waterfall Simulering'!E22</f>
        <v>0</v>
      </c>
      <c r="H194" s="84" t="n">
        <f aca="false">'Equity Dashboard'!F12*'Waterfall Simulering'!F22</f>
        <v>0</v>
      </c>
    </row>
    <row r="195" customFormat="false" ht="15.75" hidden="false" customHeight="true" outlineLevel="0" collapsed="false">
      <c r="B195" s="85" t="s">
        <v>269</v>
      </c>
      <c r="C195" s="85"/>
      <c r="D195" s="85"/>
      <c r="E195" s="85"/>
      <c r="F195" s="85"/>
      <c r="G195" s="85"/>
      <c r="H195" s="85"/>
      <c r="I195" s="85"/>
      <c r="J195" s="85"/>
      <c r="K195" s="85"/>
    </row>
    <row r="198" customFormat="false" ht="4.5" hidden="false" customHeight="true" outlineLevel="0" collapsed="false"/>
    <row r="199" customFormat="false" ht="7.5" hidden="false" customHeight="true" outlineLevel="0" collapsed="false"/>
    <row r="200" customFormat="false" ht="24" hidden="false" customHeight="true" outlineLevel="0" collapsed="false">
      <c r="B200" s="60" t="n">
        <f aca="false">Projektinställningar!C5</f>
        <v>0</v>
      </c>
      <c r="C200" s="60"/>
      <c r="D200" s="60"/>
      <c r="E200" s="60"/>
      <c r="F200" s="60"/>
      <c r="G200" s="60"/>
      <c r="H200" s="60"/>
    </row>
    <row r="201" customFormat="false" ht="18" hidden="false" customHeight="true" outlineLevel="0" collapsed="false">
      <c r="B201" s="61" t="s">
        <v>253</v>
      </c>
      <c r="C201" s="61"/>
      <c r="D201" s="61"/>
      <c r="E201" s="61"/>
      <c r="F201" s="61"/>
      <c r="G201" s="61"/>
      <c r="H201" s="61"/>
    </row>
    <row r="202" customFormat="false" ht="6" hidden="false" customHeight="true" outlineLevel="0" collapsed="false">
      <c r="B202" s="4"/>
      <c r="C202" s="4"/>
      <c r="D202" s="4"/>
      <c r="E202" s="4"/>
      <c r="F202" s="4"/>
      <c r="G202" s="4"/>
      <c r="H202" s="4"/>
      <c r="I202" s="4"/>
      <c r="J202" s="4"/>
      <c r="K202" s="4"/>
    </row>
    <row r="203" customFormat="false" ht="9.75" hidden="false" customHeight="true" outlineLevel="0" collapsed="false"/>
    <row r="204" customFormat="false" ht="27.75" hidden="false" customHeight="true" outlineLevel="0" collapsed="false">
      <c r="B204" s="2" t="s">
        <v>122</v>
      </c>
      <c r="C204" s="2"/>
      <c r="D204" s="2"/>
      <c r="E204" s="2"/>
      <c r="F204" s="2"/>
    </row>
    <row r="205" customFormat="false" ht="18" hidden="false" customHeight="true" outlineLevel="0" collapsed="false">
      <c r="B205" s="62" t="s">
        <v>123</v>
      </c>
      <c r="C205" s="62"/>
      <c r="D205" s="62"/>
      <c r="E205" s="62"/>
      <c r="F205" s="62"/>
    </row>
    <row r="206" customFormat="false" ht="7.5" hidden="false" customHeight="true" outlineLevel="0" collapsed="false"/>
    <row r="207" customFormat="false" ht="18" hidden="false" customHeight="true" outlineLevel="0" collapsed="false">
      <c r="B207" s="63" t="s">
        <v>254</v>
      </c>
      <c r="C207" s="63"/>
      <c r="D207" s="63"/>
      <c r="E207" s="63" t="s">
        <v>255</v>
      </c>
      <c r="F207" s="63"/>
      <c r="G207" s="63"/>
      <c r="H207" s="63" t="s">
        <v>256</v>
      </c>
      <c r="I207" s="63"/>
      <c r="J207" s="63"/>
    </row>
    <row r="208" customFormat="false" ht="31.5" hidden="false" customHeight="true" outlineLevel="0" collapsed="false">
      <c r="B208" s="64" t="n">
        <f aca="false">'Equity Dashboard'!D13</f>
        <v>16000</v>
      </c>
      <c r="C208" s="64"/>
      <c r="D208" s="64"/>
      <c r="E208" s="65" t="n">
        <f aca="false">'Equity Dashboard'!E13</f>
        <v>240</v>
      </c>
      <c r="F208" s="65"/>
      <c r="G208" s="65"/>
      <c r="H208" s="66" t="n">
        <f aca="false">'Equity Dashboard'!F13</f>
        <v>0.026629680998613</v>
      </c>
      <c r="I208" s="66"/>
      <c r="J208" s="66"/>
    </row>
    <row r="209" customFormat="false" ht="12" hidden="false" customHeight="true" outlineLevel="0" collapsed="false"/>
    <row r="210" customFormat="false" ht="19.5" hidden="false" customHeight="true" outlineLevel="0" collapsed="false">
      <c r="B210" s="63" t="s">
        <v>257</v>
      </c>
      <c r="C210" s="63"/>
      <c r="D210" s="63"/>
      <c r="E210" s="63"/>
      <c r="F210" s="63"/>
      <c r="G210" s="63"/>
      <c r="H210" s="63"/>
      <c r="I210" s="63"/>
      <c r="J210" s="63"/>
      <c r="K210" s="63"/>
    </row>
    <row r="211" customFormat="false" ht="30" hidden="false" customHeight="true" outlineLevel="0" collapsed="false">
      <c r="B211" s="49" t="s">
        <v>59</v>
      </c>
      <c r="C211" s="49" t="s">
        <v>60</v>
      </c>
      <c r="D211" s="49" t="s">
        <v>102</v>
      </c>
      <c r="E211" s="49" t="s">
        <v>258</v>
      </c>
      <c r="F211" s="49" t="s">
        <v>259</v>
      </c>
      <c r="G211" s="49" t="s">
        <v>260</v>
      </c>
      <c r="H211" s="49" t="s">
        <v>261</v>
      </c>
      <c r="I211" s="49" t="s">
        <v>262</v>
      </c>
      <c r="J211" s="49" t="s">
        <v>263</v>
      </c>
      <c r="K211" s="49" t="s">
        <v>264</v>
      </c>
    </row>
    <row r="212" customFormat="false" ht="19.5" hidden="false" customHeight="true" outlineLevel="0" collapsed="false">
      <c r="B212" s="18" t="s">
        <v>66</v>
      </c>
      <c r="C212" s="67" t="str">
        <f aca="false">Projektinställningar!C24</f>
        <v>Development</v>
      </c>
      <c r="D212" s="68" t="n">
        <f aca="false">SUMIFS('Egeninsats &amp; Poäng'!G:G,'Egeninsats &amp; Poäng'!C:C,"Maria Svensson",'Egeninsats &amp; Poäng'!F:F,"F1")</f>
        <v>0</v>
      </c>
      <c r="E212" s="68" t="str">
        <f aca="false">IFERROR(SUMIFS('Egeninsats &amp; Poäng'!H:H,'Egeninsats &amp; Poäng'!C:C,"Maria Svensson",'Egeninsats &amp; Poäng'!F:F,"F1")/SUMIFS('Egeninsats &amp; Poäng'!G:G,'Egeninsats &amp; Poäng'!C:C,"Maria Svensson",'Egeninsats &amp; Poäng'!F:F,"F1"),"")</f>
        <v/>
      </c>
      <c r="F212" s="68" t="str">
        <f aca="false">IFERROR(SUMIFS('Egeninsats &amp; Poäng'!I:I,'Egeninsats &amp; Poäng'!C:C,"Maria Svensson",'Egeninsats &amp; Poäng'!F:F,"F1")/SUMIFS('Egeninsats &amp; Poäng'!G:G,'Egeninsats &amp; Poäng'!C:C,"Maria Svensson",'Egeninsats &amp; Poäng'!F:F,"F1"),"")</f>
        <v/>
      </c>
      <c r="G212" s="68" t="n">
        <f aca="false">SUMIFS('Egeninsats &amp; Poäng'!J:J,'Egeninsats &amp; Poäng'!C:C,"Maria Svensson",'Egeninsats &amp; Poäng'!F:F,"F1")</f>
        <v>0</v>
      </c>
      <c r="H212" s="69" t="str">
        <f aca="false">IFERROR(SUMIFS('Egeninsats &amp; Poäng'!K:K,'Egeninsats &amp; Poäng'!C:C,"Maria Svensson",'Egeninsats &amp; Poäng'!F:F,"F1")/SUMIFS('Egeninsats &amp; Poäng'!G:G,'Egeninsats &amp; Poäng'!C:C,"Maria Svensson",'Egeninsats &amp; Poäng'!F:F,"F1"),"")</f>
        <v/>
      </c>
      <c r="I212" s="70" t="str">
        <f aca="false">IFERROR(SUMIFS('Egeninsats &amp; Poäng'!L:L,'Egeninsats &amp; Poäng'!C:C,"Maria Svensson",'Egeninsats &amp; Poäng'!F:F,"F1")/SUMIFS('Egeninsats &amp; Poäng'!G:G,'Egeninsats &amp; Poäng'!C:C,"Maria Svensson",'Egeninsats &amp; Poäng'!F:F,"F1"),"")</f>
        <v/>
      </c>
      <c r="J212" s="34" t="n">
        <f aca="false">SUMIFS('Egeninsats &amp; Poäng'!M:M,'Egeninsats &amp; Poäng'!C:C,"Maria Svensson",'Egeninsats &amp; Poäng'!F:F,"F1")</f>
        <v>0</v>
      </c>
      <c r="K212" s="71" t="n">
        <f aca="false">IFERROR(J212/'Equity Dashboard'!E13,"")</f>
        <v>0</v>
      </c>
    </row>
    <row r="213" customFormat="false" ht="19.5" hidden="false" customHeight="true" outlineLevel="0" collapsed="false">
      <c r="B213" s="23" t="s">
        <v>69</v>
      </c>
      <c r="C213" s="72" t="str">
        <f aca="false">Projektinställningar!C25</f>
        <v>Pre-production</v>
      </c>
      <c r="D213" s="73" t="n">
        <f aca="false">SUMIFS('Egeninsats &amp; Poäng'!G:G,'Egeninsats &amp; Poäng'!C:C,"Maria Svensson",'Egeninsats &amp; Poäng'!F:F,"F2")</f>
        <v>0</v>
      </c>
      <c r="E213" s="73" t="str">
        <f aca="false">IFERROR(SUMIFS('Egeninsats &amp; Poäng'!H:H,'Egeninsats &amp; Poäng'!C:C,"Maria Svensson",'Egeninsats &amp; Poäng'!F:F,"F2")/SUMIFS('Egeninsats &amp; Poäng'!G:G,'Egeninsats &amp; Poäng'!C:C,"Maria Svensson",'Egeninsats &amp; Poäng'!F:F,"F2"),"")</f>
        <v/>
      </c>
      <c r="F213" s="73" t="str">
        <f aca="false">IFERROR(SUMIFS('Egeninsats &amp; Poäng'!I:I,'Egeninsats &amp; Poäng'!C:C,"Maria Svensson",'Egeninsats &amp; Poäng'!F:F,"F2")/SUMIFS('Egeninsats &amp; Poäng'!G:G,'Egeninsats &amp; Poäng'!C:C,"Maria Svensson",'Egeninsats &amp; Poäng'!F:F,"F2"),"")</f>
        <v/>
      </c>
      <c r="G213" s="73" t="n">
        <f aca="false">SUMIFS('Egeninsats &amp; Poäng'!J:J,'Egeninsats &amp; Poäng'!C:C,"Maria Svensson",'Egeninsats &amp; Poäng'!F:F,"F2")</f>
        <v>0</v>
      </c>
      <c r="H213" s="74" t="str">
        <f aca="false">IFERROR(SUMIFS('Egeninsats &amp; Poäng'!K:K,'Egeninsats &amp; Poäng'!C:C,"Maria Svensson",'Egeninsats &amp; Poäng'!F:F,"F2")/SUMIFS('Egeninsats &amp; Poäng'!G:G,'Egeninsats &amp; Poäng'!C:C,"Maria Svensson",'Egeninsats &amp; Poäng'!F:F,"F2"),"")</f>
        <v/>
      </c>
      <c r="I213" s="75" t="str">
        <f aca="false">IFERROR(SUMIFS('Egeninsats &amp; Poäng'!L:L,'Egeninsats &amp; Poäng'!C:C,"Maria Svensson",'Egeninsats &amp; Poäng'!F:F,"F2")/SUMIFS('Egeninsats &amp; Poäng'!G:G,'Egeninsats &amp; Poäng'!C:C,"Maria Svensson",'Egeninsats &amp; Poäng'!F:F,"F2"),"")</f>
        <v/>
      </c>
      <c r="J213" s="76" t="n">
        <f aca="false">SUMIFS('Egeninsats &amp; Poäng'!M:M,'Egeninsats &amp; Poäng'!C:C,"Maria Svensson",'Egeninsats &amp; Poäng'!F:F,"F2")</f>
        <v>0</v>
      </c>
      <c r="K213" s="77" t="n">
        <f aca="false">IFERROR(J213/'Equity Dashboard'!E13,"")</f>
        <v>0</v>
      </c>
    </row>
    <row r="214" customFormat="false" ht="19.5" hidden="false" customHeight="true" outlineLevel="0" collapsed="false">
      <c r="B214" s="18" t="s">
        <v>71</v>
      </c>
      <c r="C214" s="67" t="str">
        <f aca="false">Projektinställningar!C26</f>
        <v>Pilot / Testinsp.</v>
      </c>
      <c r="D214" s="68" t="n">
        <f aca="false">SUMIFS('Egeninsats &amp; Poäng'!G:G,'Egeninsats &amp; Poäng'!C:C,"Maria Svensson",'Egeninsats &amp; Poäng'!F:F,"F3")</f>
        <v>0</v>
      </c>
      <c r="E214" s="68" t="str">
        <f aca="false">IFERROR(SUMIFS('Egeninsats &amp; Poäng'!H:H,'Egeninsats &amp; Poäng'!C:C,"Maria Svensson",'Egeninsats &amp; Poäng'!F:F,"F3")/SUMIFS('Egeninsats &amp; Poäng'!G:G,'Egeninsats &amp; Poäng'!C:C,"Maria Svensson",'Egeninsats &amp; Poäng'!F:F,"F3"),"")</f>
        <v/>
      </c>
      <c r="F214" s="68" t="str">
        <f aca="false">IFERROR(SUMIFS('Egeninsats &amp; Poäng'!I:I,'Egeninsats &amp; Poäng'!C:C,"Maria Svensson",'Egeninsats &amp; Poäng'!F:F,"F3")/SUMIFS('Egeninsats &amp; Poäng'!G:G,'Egeninsats &amp; Poäng'!C:C,"Maria Svensson",'Egeninsats &amp; Poäng'!F:F,"F3"),"")</f>
        <v/>
      </c>
      <c r="G214" s="68" t="n">
        <f aca="false">SUMIFS('Egeninsats &amp; Poäng'!J:J,'Egeninsats &amp; Poäng'!C:C,"Maria Svensson",'Egeninsats &amp; Poäng'!F:F,"F3")</f>
        <v>0</v>
      </c>
      <c r="H214" s="69" t="str">
        <f aca="false">IFERROR(SUMIFS('Egeninsats &amp; Poäng'!K:K,'Egeninsats &amp; Poäng'!C:C,"Maria Svensson",'Egeninsats &amp; Poäng'!F:F,"F3")/SUMIFS('Egeninsats &amp; Poäng'!G:G,'Egeninsats &amp; Poäng'!C:C,"Maria Svensson",'Egeninsats &amp; Poäng'!F:F,"F3"),"")</f>
        <v/>
      </c>
      <c r="I214" s="70" t="str">
        <f aca="false">IFERROR(SUMIFS('Egeninsats &amp; Poäng'!L:L,'Egeninsats &amp; Poäng'!C:C,"Maria Svensson",'Egeninsats &amp; Poäng'!F:F,"F3")/SUMIFS('Egeninsats &amp; Poäng'!G:G,'Egeninsats &amp; Poäng'!C:C,"Maria Svensson",'Egeninsats &amp; Poäng'!F:F,"F3"),"")</f>
        <v/>
      </c>
      <c r="J214" s="34" t="n">
        <f aca="false">SUMIFS('Egeninsats &amp; Poäng'!M:M,'Egeninsats &amp; Poäng'!C:C,"Maria Svensson",'Egeninsats &amp; Poäng'!F:F,"F3")</f>
        <v>0</v>
      </c>
      <c r="K214" s="71" t="n">
        <f aca="false">IFERROR(J214/'Equity Dashboard'!E13,"")</f>
        <v>0</v>
      </c>
    </row>
    <row r="215" customFormat="false" ht="19.5" hidden="false" customHeight="true" outlineLevel="0" collapsed="false">
      <c r="B215" s="23" t="s">
        <v>74</v>
      </c>
      <c r="C215" s="72" t="str">
        <f aca="false">Projektinställningar!C27</f>
        <v>Production Fas 1</v>
      </c>
      <c r="D215" s="73" t="n">
        <f aca="false">SUMIFS('Egeninsats &amp; Poäng'!G:G,'Egeninsats &amp; Poäng'!C:C,"Maria Svensson",'Egeninsats &amp; Poäng'!F:F,"F4")</f>
        <v>20</v>
      </c>
      <c r="E215" s="73" t="n">
        <f aca="false">IFERROR(SUMIFS('Egeninsats &amp; Poäng'!H:H,'Egeninsats &amp; Poäng'!C:C,"Maria Svensson",'Egeninsats &amp; Poäng'!F:F,"F4")/SUMIFS('Egeninsats &amp; Poäng'!G:G,'Egeninsats &amp; Poäng'!C:C,"Maria Svensson",'Egeninsats &amp; Poäng'!F:F,"F4"),"")</f>
        <v>40</v>
      </c>
      <c r="F215" s="73" t="n">
        <f aca="false">IFERROR(SUMIFS('Egeninsats &amp; Poäng'!I:I,'Egeninsats &amp; Poäng'!C:C,"Maria Svensson",'Egeninsats &amp; Poäng'!F:F,"F4")/SUMIFS('Egeninsats &amp; Poäng'!G:G,'Egeninsats &amp; Poäng'!C:C,"Maria Svensson",'Egeninsats &amp; Poäng'!F:F,"F4"),"")</f>
        <v>80</v>
      </c>
      <c r="G215" s="73" t="n">
        <f aca="false">SUMIFS('Egeninsats &amp; Poäng'!J:J,'Egeninsats &amp; Poäng'!C:C,"Maria Svensson",'Egeninsats &amp; Poäng'!F:F,"F4")</f>
        <v>16000</v>
      </c>
      <c r="H215" s="74" t="n">
        <f aca="false">IFERROR(SUMIFS('Egeninsats &amp; Poäng'!K:K,'Egeninsats &amp; Poäng'!C:C,"Maria Svensson",'Egeninsats &amp; Poäng'!F:F,"F4")/SUMIFS('Egeninsats &amp; Poäng'!G:G,'Egeninsats &amp; Poäng'!C:C,"Maria Svensson",'Egeninsats &amp; Poäng'!F:F,"F4"),"")</f>
        <v>0.5</v>
      </c>
      <c r="I215" s="75" t="n">
        <f aca="false">IFERROR(SUMIFS('Egeninsats &amp; Poäng'!L:L,'Egeninsats &amp; Poäng'!C:C,"Maria Svensson",'Egeninsats &amp; Poäng'!F:F,"F4")/SUMIFS('Egeninsats &amp; Poäng'!G:G,'Egeninsats &amp; Poäng'!C:C,"Maria Svensson",'Egeninsats &amp; Poäng'!F:F,"F4"),"")</f>
        <v>0.06</v>
      </c>
      <c r="J215" s="76" t="n">
        <f aca="false">SUMIFS('Egeninsats &amp; Poäng'!M:M,'Egeninsats &amp; Poäng'!C:C,"Maria Svensson",'Egeninsats &amp; Poäng'!F:F,"F4")</f>
        <v>240</v>
      </c>
      <c r="K215" s="77" t="n">
        <f aca="false">IFERROR(J215/'Equity Dashboard'!E13,"")</f>
        <v>1</v>
      </c>
    </row>
    <row r="216" customFormat="false" ht="19.5" hidden="false" customHeight="true" outlineLevel="0" collapsed="false">
      <c r="B216" s="18" t="s">
        <v>76</v>
      </c>
      <c r="C216" s="67" t="str">
        <f aca="false">Projektinställningar!C28</f>
        <v>Production Fas 2</v>
      </c>
      <c r="D216" s="68" t="n">
        <f aca="false">SUMIFS('Egeninsats &amp; Poäng'!G:G,'Egeninsats &amp; Poäng'!C:C,"Maria Svensson",'Egeninsats &amp; Poäng'!F:F,"F5")</f>
        <v>0</v>
      </c>
      <c r="E216" s="68" t="str">
        <f aca="false">IFERROR(SUMIFS('Egeninsats &amp; Poäng'!H:H,'Egeninsats &amp; Poäng'!C:C,"Maria Svensson",'Egeninsats &amp; Poäng'!F:F,"F5")/SUMIFS('Egeninsats &amp; Poäng'!G:G,'Egeninsats &amp; Poäng'!C:C,"Maria Svensson",'Egeninsats &amp; Poäng'!F:F,"F5"),"")</f>
        <v/>
      </c>
      <c r="F216" s="68" t="str">
        <f aca="false">IFERROR(SUMIFS('Egeninsats &amp; Poäng'!I:I,'Egeninsats &amp; Poäng'!C:C,"Maria Svensson",'Egeninsats &amp; Poäng'!F:F,"F5")/SUMIFS('Egeninsats &amp; Poäng'!G:G,'Egeninsats &amp; Poäng'!C:C,"Maria Svensson",'Egeninsats &amp; Poäng'!F:F,"F5"),"")</f>
        <v/>
      </c>
      <c r="G216" s="68" t="n">
        <f aca="false">SUMIFS('Egeninsats &amp; Poäng'!J:J,'Egeninsats &amp; Poäng'!C:C,"Maria Svensson",'Egeninsats &amp; Poäng'!F:F,"F5")</f>
        <v>0</v>
      </c>
      <c r="H216" s="69" t="str">
        <f aca="false">IFERROR(SUMIFS('Egeninsats &amp; Poäng'!K:K,'Egeninsats &amp; Poäng'!C:C,"Maria Svensson",'Egeninsats &amp; Poäng'!F:F,"F5")/SUMIFS('Egeninsats &amp; Poäng'!G:G,'Egeninsats &amp; Poäng'!C:C,"Maria Svensson",'Egeninsats &amp; Poäng'!F:F,"F5"),"")</f>
        <v/>
      </c>
      <c r="I216" s="70" t="str">
        <f aca="false">IFERROR(SUMIFS('Egeninsats &amp; Poäng'!L:L,'Egeninsats &amp; Poäng'!C:C,"Maria Svensson",'Egeninsats &amp; Poäng'!F:F,"F5")/SUMIFS('Egeninsats &amp; Poäng'!G:G,'Egeninsats &amp; Poäng'!C:C,"Maria Svensson",'Egeninsats &amp; Poäng'!F:F,"F5"),"")</f>
        <v/>
      </c>
      <c r="J216" s="34" t="n">
        <f aca="false">SUMIFS('Egeninsats &amp; Poäng'!M:M,'Egeninsats &amp; Poäng'!C:C,"Maria Svensson",'Egeninsats &amp; Poäng'!F:F,"F5")</f>
        <v>0</v>
      </c>
      <c r="K216" s="71" t="n">
        <f aca="false">IFERROR(J216/'Equity Dashboard'!E13,"")</f>
        <v>0</v>
      </c>
    </row>
    <row r="217" customFormat="false" ht="19.5" hidden="false" customHeight="true" outlineLevel="0" collapsed="false">
      <c r="B217" s="23" t="s">
        <v>78</v>
      </c>
      <c r="C217" s="72" t="str">
        <f aca="false">Projektinställningar!C29</f>
        <v>Post-production</v>
      </c>
      <c r="D217" s="73" t="n">
        <f aca="false">SUMIFS('Egeninsats &amp; Poäng'!G:G,'Egeninsats &amp; Poäng'!C:C,"Maria Svensson",'Egeninsats &amp; Poäng'!F:F,"F6")</f>
        <v>0</v>
      </c>
      <c r="E217" s="73" t="str">
        <f aca="false">IFERROR(SUMIFS('Egeninsats &amp; Poäng'!H:H,'Egeninsats &amp; Poäng'!C:C,"Maria Svensson",'Egeninsats &amp; Poäng'!F:F,"F6")/SUMIFS('Egeninsats &amp; Poäng'!G:G,'Egeninsats &amp; Poäng'!C:C,"Maria Svensson",'Egeninsats &amp; Poäng'!F:F,"F6"),"")</f>
        <v/>
      </c>
      <c r="F217" s="73" t="str">
        <f aca="false">IFERROR(SUMIFS('Egeninsats &amp; Poäng'!I:I,'Egeninsats &amp; Poäng'!C:C,"Maria Svensson",'Egeninsats &amp; Poäng'!F:F,"F6")/SUMIFS('Egeninsats &amp; Poäng'!G:G,'Egeninsats &amp; Poäng'!C:C,"Maria Svensson",'Egeninsats &amp; Poäng'!F:F,"F6"),"")</f>
        <v/>
      </c>
      <c r="G217" s="73" t="n">
        <f aca="false">SUMIFS('Egeninsats &amp; Poäng'!J:J,'Egeninsats &amp; Poäng'!C:C,"Maria Svensson",'Egeninsats &amp; Poäng'!F:F,"F6")</f>
        <v>0</v>
      </c>
      <c r="H217" s="74" t="str">
        <f aca="false">IFERROR(SUMIFS('Egeninsats &amp; Poäng'!K:K,'Egeninsats &amp; Poäng'!C:C,"Maria Svensson",'Egeninsats &amp; Poäng'!F:F,"F6")/SUMIFS('Egeninsats &amp; Poäng'!G:G,'Egeninsats &amp; Poäng'!C:C,"Maria Svensson",'Egeninsats &amp; Poäng'!F:F,"F6"),"")</f>
        <v/>
      </c>
      <c r="I217" s="75" t="str">
        <f aca="false">IFERROR(SUMIFS('Egeninsats &amp; Poäng'!L:L,'Egeninsats &amp; Poäng'!C:C,"Maria Svensson",'Egeninsats &amp; Poäng'!F:F,"F6")/SUMIFS('Egeninsats &amp; Poäng'!G:G,'Egeninsats &amp; Poäng'!C:C,"Maria Svensson",'Egeninsats &amp; Poäng'!F:F,"F6"),"")</f>
        <v/>
      </c>
      <c r="J217" s="76" t="n">
        <f aca="false">SUMIFS('Egeninsats &amp; Poäng'!M:M,'Egeninsats &amp; Poäng'!C:C,"Maria Svensson",'Egeninsats &amp; Poäng'!F:F,"F6")</f>
        <v>0</v>
      </c>
      <c r="K217" s="77" t="n">
        <f aca="false">IFERROR(J217/'Equity Dashboard'!E13,"")</f>
        <v>0</v>
      </c>
    </row>
    <row r="218" customFormat="false" ht="19.5" hidden="false" customHeight="true" outlineLevel="0" collapsed="false">
      <c r="B218" s="18" t="s">
        <v>80</v>
      </c>
      <c r="C218" s="67" t="str">
        <f aca="false">Projektinställningar!C30</f>
        <v>Promotion / Lansering</v>
      </c>
      <c r="D218" s="68" t="n">
        <f aca="false">SUMIFS('Egeninsats &amp; Poäng'!G:G,'Egeninsats &amp; Poäng'!C:C,"Maria Svensson",'Egeninsats &amp; Poäng'!F:F,"F7")</f>
        <v>0</v>
      </c>
      <c r="E218" s="68" t="str">
        <f aca="false">IFERROR(SUMIFS('Egeninsats &amp; Poäng'!H:H,'Egeninsats &amp; Poäng'!C:C,"Maria Svensson",'Egeninsats &amp; Poäng'!F:F,"F7")/SUMIFS('Egeninsats &amp; Poäng'!G:G,'Egeninsats &amp; Poäng'!C:C,"Maria Svensson",'Egeninsats &amp; Poäng'!F:F,"F7"),"")</f>
        <v/>
      </c>
      <c r="F218" s="68" t="str">
        <f aca="false">IFERROR(SUMIFS('Egeninsats &amp; Poäng'!I:I,'Egeninsats &amp; Poäng'!C:C,"Maria Svensson",'Egeninsats &amp; Poäng'!F:F,"F7")/SUMIFS('Egeninsats &amp; Poäng'!G:G,'Egeninsats &amp; Poäng'!C:C,"Maria Svensson",'Egeninsats &amp; Poäng'!F:F,"F7"),"")</f>
        <v/>
      </c>
      <c r="G218" s="68" t="n">
        <f aca="false">SUMIFS('Egeninsats &amp; Poäng'!J:J,'Egeninsats &amp; Poäng'!C:C,"Maria Svensson",'Egeninsats &amp; Poäng'!F:F,"F7")</f>
        <v>0</v>
      </c>
      <c r="H218" s="69" t="str">
        <f aca="false">IFERROR(SUMIFS('Egeninsats &amp; Poäng'!K:K,'Egeninsats &amp; Poäng'!C:C,"Maria Svensson",'Egeninsats &amp; Poäng'!F:F,"F7")/SUMIFS('Egeninsats &amp; Poäng'!G:G,'Egeninsats &amp; Poäng'!C:C,"Maria Svensson",'Egeninsats &amp; Poäng'!F:F,"F7"),"")</f>
        <v/>
      </c>
      <c r="I218" s="70" t="str">
        <f aca="false">IFERROR(SUMIFS('Egeninsats &amp; Poäng'!L:L,'Egeninsats &amp; Poäng'!C:C,"Maria Svensson",'Egeninsats &amp; Poäng'!F:F,"F7")/SUMIFS('Egeninsats &amp; Poäng'!G:G,'Egeninsats &amp; Poäng'!C:C,"Maria Svensson",'Egeninsats &amp; Poäng'!F:F,"F7"),"")</f>
        <v/>
      </c>
      <c r="J218" s="34" t="n">
        <f aca="false">SUMIFS('Egeninsats &amp; Poäng'!M:M,'Egeninsats &amp; Poäng'!C:C,"Maria Svensson",'Egeninsats &amp; Poäng'!F:F,"F7")</f>
        <v>0</v>
      </c>
      <c r="K218" s="71" t="n">
        <f aca="false">IFERROR(J218/'Equity Dashboard'!E13,"")</f>
        <v>0</v>
      </c>
    </row>
    <row r="219" customFormat="false" ht="19.5" hidden="false" customHeight="true" outlineLevel="0" collapsed="false">
      <c r="B219" s="23" t="s">
        <v>82</v>
      </c>
      <c r="C219" s="72" t="str">
        <f aca="false">Projektinställningar!C31</f>
        <v>Övrigt</v>
      </c>
      <c r="D219" s="73" t="n">
        <f aca="false">SUMIFS('Egeninsats &amp; Poäng'!G:G,'Egeninsats &amp; Poäng'!C:C,"Maria Svensson",'Egeninsats &amp; Poäng'!F:F,"F8")</f>
        <v>0</v>
      </c>
      <c r="E219" s="73" t="str">
        <f aca="false">IFERROR(SUMIFS('Egeninsats &amp; Poäng'!H:H,'Egeninsats &amp; Poäng'!C:C,"Maria Svensson",'Egeninsats &amp; Poäng'!F:F,"F8")/SUMIFS('Egeninsats &amp; Poäng'!G:G,'Egeninsats &amp; Poäng'!C:C,"Maria Svensson",'Egeninsats &amp; Poäng'!F:F,"F8"),"")</f>
        <v/>
      </c>
      <c r="F219" s="73" t="str">
        <f aca="false">IFERROR(SUMIFS('Egeninsats &amp; Poäng'!I:I,'Egeninsats &amp; Poäng'!C:C,"Maria Svensson",'Egeninsats &amp; Poäng'!F:F,"F8")/SUMIFS('Egeninsats &amp; Poäng'!G:G,'Egeninsats &amp; Poäng'!C:C,"Maria Svensson",'Egeninsats &amp; Poäng'!F:F,"F8"),"")</f>
        <v/>
      </c>
      <c r="G219" s="73" t="n">
        <f aca="false">SUMIFS('Egeninsats &amp; Poäng'!J:J,'Egeninsats &amp; Poäng'!C:C,"Maria Svensson",'Egeninsats &amp; Poäng'!F:F,"F8")</f>
        <v>0</v>
      </c>
      <c r="H219" s="74" t="str">
        <f aca="false">IFERROR(SUMIFS('Egeninsats &amp; Poäng'!K:K,'Egeninsats &amp; Poäng'!C:C,"Maria Svensson",'Egeninsats &amp; Poäng'!F:F,"F8")/SUMIFS('Egeninsats &amp; Poäng'!G:G,'Egeninsats &amp; Poäng'!C:C,"Maria Svensson",'Egeninsats &amp; Poäng'!F:F,"F8"),"")</f>
        <v/>
      </c>
      <c r="I219" s="75" t="str">
        <f aca="false">IFERROR(SUMIFS('Egeninsats &amp; Poäng'!L:L,'Egeninsats &amp; Poäng'!C:C,"Maria Svensson",'Egeninsats &amp; Poäng'!F:F,"F8")/SUMIFS('Egeninsats &amp; Poäng'!G:G,'Egeninsats &amp; Poäng'!C:C,"Maria Svensson",'Egeninsats &amp; Poäng'!F:F,"F8"),"")</f>
        <v/>
      </c>
      <c r="J219" s="76" t="n">
        <f aca="false">SUMIFS('Egeninsats &amp; Poäng'!M:M,'Egeninsats &amp; Poäng'!C:C,"Maria Svensson",'Egeninsats &amp; Poäng'!F:F,"F8")</f>
        <v>0</v>
      </c>
      <c r="K219" s="77" t="n">
        <f aca="false">IFERROR(J219/'Equity Dashboard'!E13,"")</f>
        <v>0</v>
      </c>
    </row>
    <row r="220" customFormat="false" ht="21.75" hidden="false" customHeight="true" outlineLevel="0" collapsed="false">
      <c r="B220" s="78" t="s">
        <v>136</v>
      </c>
      <c r="C220" s="78"/>
      <c r="D220" s="79" t="n">
        <f aca="false">SUM(D212:D219)</f>
        <v>20</v>
      </c>
      <c r="E220" s="80"/>
      <c r="F220" s="80"/>
      <c r="G220" s="79" t="n">
        <f aca="false">SUM(G212:G219)</f>
        <v>16000</v>
      </c>
      <c r="H220" s="80"/>
      <c r="I220" s="80"/>
      <c r="J220" s="81" t="n">
        <f aca="false">SUM(J212:J219)</f>
        <v>240</v>
      </c>
      <c r="K220" s="80"/>
    </row>
    <row r="221" customFormat="false" ht="12" hidden="false" customHeight="true" outlineLevel="0" collapsed="false"/>
    <row r="222" customFormat="false" ht="19.5" hidden="false" customHeight="true" outlineLevel="0" collapsed="false">
      <c r="B222" s="63" t="s">
        <v>265</v>
      </c>
      <c r="C222" s="63"/>
      <c r="D222" s="63"/>
      <c r="E222" s="63"/>
      <c r="F222" s="63"/>
      <c r="G222" s="63"/>
      <c r="H222" s="63"/>
      <c r="I222" s="63"/>
      <c r="J222" s="63"/>
      <c r="K222" s="63"/>
    </row>
    <row r="223" customFormat="false" ht="27.75" hidden="false" customHeight="true" outlineLevel="0" collapsed="false">
      <c r="B223" s="82" t="s">
        <v>266</v>
      </c>
      <c r="C223" s="82"/>
      <c r="D223" s="82"/>
      <c r="E223" s="82"/>
      <c r="F223" s="82"/>
      <c r="G223" s="82"/>
      <c r="H223" s="82"/>
      <c r="I223" s="82"/>
      <c r="J223" s="82"/>
      <c r="K223" s="82"/>
    </row>
    <row r="224" customFormat="false" ht="30" hidden="false" customHeight="true" outlineLevel="0" collapsed="false">
      <c r="B224" s="55" t="s">
        <v>231</v>
      </c>
      <c r="C224" s="55"/>
      <c r="D224" s="55"/>
      <c r="E224" s="55" t="s">
        <v>267</v>
      </c>
      <c r="F224" s="55"/>
      <c r="G224" s="55"/>
      <c r="H224" s="55" t="s">
        <v>233</v>
      </c>
      <c r="I224" s="55"/>
      <c r="J224" s="55"/>
    </row>
    <row r="225" customFormat="false" ht="19.5" hidden="false" customHeight="true" outlineLevel="0" collapsed="false">
      <c r="B225" s="83" t="s">
        <v>268</v>
      </c>
      <c r="C225" s="83"/>
      <c r="D225" s="83"/>
      <c r="E225" s="83" t="s">
        <v>268</v>
      </c>
      <c r="F225" s="83"/>
      <c r="G225" s="83"/>
      <c r="H225" s="83" t="s">
        <v>268</v>
      </c>
      <c r="I225" s="83"/>
      <c r="J225" s="83"/>
    </row>
    <row r="226" customFormat="false" ht="36" hidden="false" customHeight="true" outlineLevel="0" collapsed="false">
      <c r="B226" s="83" t="n">
        <f aca="false">'Waterfall Simulering'!D22</f>
        <v>0</v>
      </c>
      <c r="C226" s="83"/>
      <c r="D226" s="83"/>
      <c r="E226" s="83" t="n">
        <f aca="false">'Waterfall Simulering'!E22</f>
        <v>0</v>
      </c>
      <c r="F226" s="83"/>
      <c r="G226" s="83"/>
      <c r="H226" s="83" t="n">
        <f aca="false">'Waterfall Simulering'!F22</f>
        <v>0</v>
      </c>
      <c r="I226" s="83"/>
      <c r="J226" s="83"/>
    </row>
    <row r="227" customFormat="false" ht="12" hidden="false" customHeight="true" outlineLevel="0" collapsed="false">
      <c r="B227" s="84" t="n">
        <f aca="false">'Equity Dashboard'!F13*'Waterfall Simulering'!D22</f>
        <v>0</v>
      </c>
      <c r="E227" s="84" t="n">
        <f aca="false">'Equity Dashboard'!F13*'Waterfall Simulering'!E22</f>
        <v>0</v>
      </c>
      <c r="H227" s="84" t="n">
        <f aca="false">'Equity Dashboard'!F13*'Waterfall Simulering'!F22</f>
        <v>0</v>
      </c>
    </row>
    <row r="228" customFormat="false" ht="15.75" hidden="false" customHeight="true" outlineLevel="0" collapsed="false">
      <c r="B228" s="85" t="s">
        <v>269</v>
      </c>
      <c r="C228" s="85"/>
      <c r="D228" s="85"/>
      <c r="E228" s="85"/>
      <c r="F228" s="85"/>
      <c r="G228" s="85"/>
      <c r="H228" s="85"/>
      <c r="I228" s="85"/>
      <c r="J228" s="85"/>
      <c r="K228" s="85"/>
    </row>
    <row r="231" customFormat="false" ht="4.5" hidden="false" customHeight="true" outlineLevel="0" collapsed="false"/>
    <row r="232" customFormat="false" ht="7.5" hidden="false" customHeight="true" outlineLevel="0" collapsed="false"/>
    <row r="233" customFormat="false" ht="24" hidden="false" customHeight="true" outlineLevel="0" collapsed="false">
      <c r="B233" s="60" t="n">
        <f aca="false">Projektinställningar!C5</f>
        <v>0</v>
      </c>
      <c r="C233" s="60"/>
      <c r="D233" s="60"/>
      <c r="E233" s="60"/>
      <c r="F233" s="60"/>
      <c r="G233" s="60"/>
      <c r="H233" s="60"/>
    </row>
    <row r="234" customFormat="false" ht="18" hidden="false" customHeight="true" outlineLevel="0" collapsed="false">
      <c r="B234" s="61" t="s">
        <v>253</v>
      </c>
      <c r="C234" s="61"/>
      <c r="D234" s="61"/>
      <c r="E234" s="61"/>
      <c r="F234" s="61"/>
      <c r="G234" s="61"/>
      <c r="H234" s="61"/>
    </row>
    <row r="235" customFormat="false" ht="6" hidden="false" customHeight="true" outlineLevel="0" collapsed="false">
      <c r="B235" s="4"/>
      <c r="C235" s="4"/>
      <c r="D235" s="4"/>
      <c r="E235" s="4"/>
      <c r="F235" s="4"/>
      <c r="G235" s="4"/>
      <c r="H235" s="4"/>
      <c r="I235" s="4"/>
      <c r="J235" s="4"/>
      <c r="K235" s="4"/>
    </row>
    <row r="236" customFormat="false" ht="9.75" hidden="false" customHeight="true" outlineLevel="0" collapsed="false"/>
    <row r="237" customFormat="false" ht="27.75" hidden="false" customHeight="true" outlineLevel="0" collapsed="false">
      <c r="B237" s="2" t="s">
        <v>124</v>
      </c>
      <c r="C237" s="2"/>
      <c r="D237" s="2"/>
      <c r="E237" s="2"/>
      <c r="F237" s="2"/>
    </row>
    <row r="238" customFormat="false" ht="18" hidden="false" customHeight="true" outlineLevel="0" collapsed="false">
      <c r="B238" s="62" t="s">
        <v>125</v>
      </c>
      <c r="C238" s="62"/>
      <c r="D238" s="62"/>
      <c r="E238" s="62"/>
      <c r="F238" s="62"/>
    </row>
    <row r="239" customFormat="false" ht="7.5" hidden="false" customHeight="true" outlineLevel="0" collapsed="false"/>
    <row r="240" customFormat="false" ht="18" hidden="false" customHeight="true" outlineLevel="0" collapsed="false">
      <c r="B240" s="63" t="s">
        <v>254</v>
      </c>
      <c r="C240" s="63"/>
      <c r="D240" s="63"/>
      <c r="E240" s="63" t="s">
        <v>255</v>
      </c>
      <c r="F240" s="63"/>
      <c r="G240" s="63"/>
      <c r="H240" s="63" t="s">
        <v>256</v>
      </c>
      <c r="I240" s="63"/>
      <c r="J240" s="63"/>
    </row>
    <row r="241" customFormat="false" ht="31.5" hidden="false" customHeight="true" outlineLevel="0" collapsed="false">
      <c r="B241" s="64" t="n">
        <f aca="false">'Equity Dashboard'!D14</f>
        <v>0</v>
      </c>
      <c r="C241" s="64"/>
      <c r="D241" s="64"/>
      <c r="E241" s="65" t="n">
        <f aca="false">'Equity Dashboard'!E14</f>
        <v>250</v>
      </c>
      <c r="F241" s="65"/>
      <c r="G241" s="65"/>
      <c r="H241" s="66" t="n">
        <f aca="false">'Equity Dashboard'!F14</f>
        <v>0.0277392510402219</v>
      </c>
      <c r="I241" s="66"/>
      <c r="J241" s="66"/>
    </row>
    <row r="242" customFormat="false" ht="12" hidden="false" customHeight="true" outlineLevel="0" collapsed="false"/>
    <row r="243" customFormat="false" ht="19.5" hidden="false" customHeight="true" outlineLevel="0" collapsed="false">
      <c r="B243" s="63" t="s">
        <v>257</v>
      </c>
      <c r="C243" s="63"/>
      <c r="D243" s="63"/>
      <c r="E243" s="63"/>
      <c r="F243" s="63"/>
      <c r="G243" s="63"/>
      <c r="H243" s="63"/>
      <c r="I243" s="63"/>
      <c r="J243" s="63"/>
      <c r="K243" s="63"/>
    </row>
    <row r="244" customFormat="false" ht="30" hidden="false" customHeight="true" outlineLevel="0" collapsed="false">
      <c r="B244" s="49" t="s">
        <v>59</v>
      </c>
      <c r="C244" s="49" t="s">
        <v>60</v>
      </c>
      <c r="D244" s="49" t="s">
        <v>102</v>
      </c>
      <c r="E244" s="49" t="s">
        <v>258</v>
      </c>
      <c r="F244" s="49" t="s">
        <v>259</v>
      </c>
      <c r="G244" s="49" t="s">
        <v>260</v>
      </c>
      <c r="H244" s="49" t="s">
        <v>261</v>
      </c>
      <c r="I244" s="49" t="s">
        <v>262</v>
      </c>
      <c r="J244" s="49" t="s">
        <v>263</v>
      </c>
      <c r="K244" s="49" t="s">
        <v>264</v>
      </c>
    </row>
    <row r="245" customFormat="false" ht="19.5" hidden="false" customHeight="true" outlineLevel="0" collapsed="false">
      <c r="B245" s="18" t="s">
        <v>66</v>
      </c>
      <c r="C245" s="67" t="str">
        <f aca="false">Projektinställningar!C24</f>
        <v>Development</v>
      </c>
      <c r="D245" s="68" t="n">
        <f aca="false">SUMIFS('Egeninsats &amp; Poäng'!G:G,'Egeninsats &amp; Poäng'!C:C,"Kalle Strand",'Egeninsats &amp; Poäng'!F:F,"F1")</f>
        <v>0</v>
      </c>
      <c r="E245" s="68" t="str">
        <f aca="false">IFERROR(SUMIFS('Egeninsats &amp; Poäng'!H:H,'Egeninsats &amp; Poäng'!C:C,"Kalle Strand",'Egeninsats &amp; Poäng'!F:F,"F1")/SUMIFS('Egeninsats &amp; Poäng'!G:G,'Egeninsats &amp; Poäng'!C:C,"Kalle Strand",'Egeninsats &amp; Poäng'!F:F,"F1"),"")</f>
        <v/>
      </c>
      <c r="F245" s="68" t="str">
        <f aca="false">IFERROR(SUMIFS('Egeninsats &amp; Poäng'!I:I,'Egeninsats &amp; Poäng'!C:C,"Kalle Strand",'Egeninsats &amp; Poäng'!F:F,"F1")/SUMIFS('Egeninsats &amp; Poäng'!G:G,'Egeninsats &amp; Poäng'!C:C,"Kalle Strand",'Egeninsats &amp; Poäng'!F:F,"F1"),"")</f>
        <v/>
      </c>
      <c r="G245" s="68" t="n">
        <f aca="false">SUMIFS('Egeninsats &amp; Poäng'!J:J,'Egeninsats &amp; Poäng'!C:C,"Kalle Strand",'Egeninsats &amp; Poäng'!F:F,"F1")</f>
        <v>0</v>
      </c>
      <c r="H245" s="69" t="str">
        <f aca="false">IFERROR(SUMIFS('Egeninsats &amp; Poäng'!K:K,'Egeninsats &amp; Poäng'!C:C,"Kalle Strand",'Egeninsats &amp; Poäng'!F:F,"F1")/SUMIFS('Egeninsats &amp; Poäng'!G:G,'Egeninsats &amp; Poäng'!C:C,"Kalle Strand",'Egeninsats &amp; Poäng'!F:F,"F1"),"")</f>
        <v/>
      </c>
      <c r="I245" s="70" t="str">
        <f aca="false">IFERROR(SUMIFS('Egeninsats &amp; Poäng'!L:L,'Egeninsats &amp; Poäng'!C:C,"Kalle Strand",'Egeninsats &amp; Poäng'!F:F,"F1")/SUMIFS('Egeninsats &amp; Poäng'!G:G,'Egeninsats &amp; Poäng'!C:C,"Kalle Strand",'Egeninsats &amp; Poäng'!F:F,"F1"),"")</f>
        <v/>
      </c>
      <c r="J245" s="34" t="n">
        <f aca="false">SUMIFS('Egeninsats &amp; Poäng'!M:M,'Egeninsats &amp; Poäng'!C:C,"Kalle Strand",'Egeninsats &amp; Poäng'!F:F,"F1")</f>
        <v>0</v>
      </c>
      <c r="K245" s="71" t="n">
        <f aca="false">IFERROR(J245/'Equity Dashboard'!E14,"")</f>
        <v>0</v>
      </c>
    </row>
    <row r="246" customFormat="false" ht="19.5" hidden="false" customHeight="true" outlineLevel="0" collapsed="false">
      <c r="B246" s="23" t="s">
        <v>69</v>
      </c>
      <c r="C246" s="72" t="str">
        <f aca="false">Projektinställningar!C25</f>
        <v>Pre-production</v>
      </c>
      <c r="D246" s="73" t="n">
        <f aca="false">SUMIFS('Egeninsats &amp; Poäng'!G:G,'Egeninsats &amp; Poäng'!C:C,"Kalle Strand",'Egeninsats &amp; Poäng'!F:F,"F2")</f>
        <v>0</v>
      </c>
      <c r="E246" s="73" t="str">
        <f aca="false">IFERROR(SUMIFS('Egeninsats &amp; Poäng'!H:H,'Egeninsats &amp; Poäng'!C:C,"Kalle Strand",'Egeninsats &amp; Poäng'!F:F,"F2")/SUMIFS('Egeninsats &amp; Poäng'!G:G,'Egeninsats &amp; Poäng'!C:C,"Kalle Strand",'Egeninsats &amp; Poäng'!F:F,"F2"),"")</f>
        <v/>
      </c>
      <c r="F246" s="73" t="str">
        <f aca="false">IFERROR(SUMIFS('Egeninsats &amp; Poäng'!I:I,'Egeninsats &amp; Poäng'!C:C,"Kalle Strand",'Egeninsats &amp; Poäng'!F:F,"F2")/SUMIFS('Egeninsats &amp; Poäng'!G:G,'Egeninsats &amp; Poäng'!C:C,"Kalle Strand",'Egeninsats &amp; Poäng'!F:F,"F2"),"")</f>
        <v/>
      </c>
      <c r="G246" s="73" t="n">
        <f aca="false">SUMIFS('Egeninsats &amp; Poäng'!J:J,'Egeninsats &amp; Poäng'!C:C,"Kalle Strand",'Egeninsats &amp; Poäng'!F:F,"F2")</f>
        <v>0</v>
      </c>
      <c r="H246" s="74" t="str">
        <f aca="false">IFERROR(SUMIFS('Egeninsats &amp; Poäng'!K:K,'Egeninsats &amp; Poäng'!C:C,"Kalle Strand",'Egeninsats &amp; Poäng'!F:F,"F2")/SUMIFS('Egeninsats &amp; Poäng'!G:G,'Egeninsats &amp; Poäng'!C:C,"Kalle Strand",'Egeninsats &amp; Poäng'!F:F,"F2"),"")</f>
        <v/>
      </c>
      <c r="I246" s="75" t="str">
        <f aca="false">IFERROR(SUMIFS('Egeninsats &amp; Poäng'!L:L,'Egeninsats &amp; Poäng'!C:C,"Kalle Strand",'Egeninsats &amp; Poäng'!F:F,"F2")/SUMIFS('Egeninsats &amp; Poäng'!G:G,'Egeninsats &amp; Poäng'!C:C,"Kalle Strand",'Egeninsats &amp; Poäng'!F:F,"F2"),"")</f>
        <v/>
      </c>
      <c r="J246" s="76" t="n">
        <f aca="false">SUMIFS('Egeninsats &amp; Poäng'!M:M,'Egeninsats &amp; Poäng'!C:C,"Kalle Strand",'Egeninsats &amp; Poäng'!F:F,"F2")</f>
        <v>0</v>
      </c>
      <c r="K246" s="77" t="n">
        <f aca="false">IFERROR(J246/'Equity Dashboard'!E14,"")</f>
        <v>0</v>
      </c>
    </row>
    <row r="247" customFormat="false" ht="19.5" hidden="false" customHeight="true" outlineLevel="0" collapsed="false">
      <c r="B247" s="18" t="s">
        <v>71</v>
      </c>
      <c r="C247" s="67" t="str">
        <f aca="false">Projektinställningar!C26</f>
        <v>Pilot / Testinsp.</v>
      </c>
      <c r="D247" s="68" t="n">
        <f aca="false">SUMIFS('Egeninsats &amp; Poäng'!G:G,'Egeninsats &amp; Poäng'!C:C,"Kalle Strand",'Egeninsats &amp; Poäng'!F:F,"F3")</f>
        <v>0</v>
      </c>
      <c r="E247" s="68" t="str">
        <f aca="false">IFERROR(SUMIFS('Egeninsats &amp; Poäng'!H:H,'Egeninsats &amp; Poäng'!C:C,"Kalle Strand",'Egeninsats &amp; Poäng'!F:F,"F3")/SUMIFS('Egeninsats &amp; Poäng'!G:G,'Egeninsats &amp; Poäng'!C:C,"Kalle Strand",'Egeninsats &amp; Poäng'!F:F,"F3"),"")</f>
        <v/>
      </c>
      <c r="F247" s="68" t="str">
        <f aca="false">IFERROR(SUMIFS('Egeninsats &amp; Poäng'!I:I,'Egeninsats &amp; Poäng'!C:C,"Kalle Strand",'Egeninsats &amp; Poäng'!F:F,"F3")/SUMIFS('Egeninsats &amp; Poäng'!G:G,'Egeninsats &amp; Poäng'!C:C,"Kalle Strand",'Egeninsats &amp; Poäng'!F:F,"F3"),"")</f>
        <v/>
      </c>
      <c r="G247" s="68" t="n">
        <f aca="false">SUMIFS('Egeninsats &amp; Poäng'!J:J,'Egeninsats &amp; Poäng'!C:C,"Kalle Strand",'Egeninsats &amp; Poäng'!F:F,"F3")</f>
        <v>0</v>
      </c>
      <c r="H247" s="69" t="str">
        <f aca="false">IFERROR(SUMIFS('Egeninsats &amp; Poäng'!K:K,'Egeninsats &amp; Poäng'!C:C,"Kalle Strand",'Egeninsats &amp; Poäng'!F:F,"F3")/SUMIFS('Egeninsats &amp; Poäng'!G:G,'Egeninsats &amp; Poäng'!C:C,"Kalle Strand",'Egeninsats &amp; Poäng'!F:F,"F3"),"")</f>
        <v/>
      </c>
      <c r="I247" s="70" t="str">
        <f aca="false">IFERROR(SUMIFS('Egeninsats &amp; Poäng'!L:L,'Egeninsats &amp; Poäng'!C:C,"Kalle Strand",'Egeninsats &amp; Poäng'!F:F,"F3")/SUMIFS('Egeninsats &amp; Poäng'!G:G,'Egeninsats &amp; Poäng'!C:C,"Kalle Strand",'Egeninsats &amp; Poäng'!F:F,"F3"),"")</f>
        <v/>
      </c>
      <c r="J247" s="34" t="n">
        <f aca="false">SUMIFS('Egeninsats &amp; Poäng'!M:M,'Egeninsats &amp; Poäng'!C:C,"Kalle Strand",'Egeninsats &amp; Poäng'!F:F,"F3")</f>
        <v>0</v>
      </c>
      <c r="K247" s="71" t="n">
        <f aca="false">IFERROR(J247/'Equity Dashboard'!E14,"")</f>
        <v>0</v>
      </c>
    </row>
    <row r="248" customFormat="false" ht="19.5" hidden="false" customHeight="true" outlineLevel="0" collapsed="false">
      <c r="B248" s="23" t="s">
        <v>74</v>
      </c>
      <c r="C248" s="72" t="str">
        <f aca="false">Projektinställningar!C27</f>
        <v>Production Fas 1</v>
      </c>
      <c r="D248" s="73" t="n">
        <f aca="false">SUMIFS('Egeninsats &amp; Poäng'!G:G,'Egeninsats &amp; Poäng'!C:C,"Kalle Strand",'Egeninsats &amp; Poäng'!F:F,"F4")</f>
        <v>25</v>
      </c>
      <c r="E248" s="73" t="n">
        <f aca="false">IFERROR(SUMIFS('Egeninsats &amp; Poäng'!H:H,'Egeninsats &amp; Poäng'!C:C,"Kalle Strand",'Egeninsats &amp; Poäng'!F:F,"F4")/SUMIFS('Egeninsats &amp; Poäng'!G:G,'Egeninsats &amp; Poäng'!C:C,"Kalle Strand",'Egeninsats &amp; Poäng'!F:F,"F4"),"")</f>
        <v>24</v>
      </c>
      <c r="F248" s="73" t="n">
        <f aca="false">IFERROR(SUMIFS('Egeninsats &amp; Poäng'!I:I,'Egeninsats &amp; Poäng'!C:C,"Kalle Strand",'Egeninsats &amp; Poäng'!F:F,"F4")/SUMIFS('Egeninsats &amp; Poäng'!G:G,'Egeninsats &amp; Poäng'!C:C,"Kalle Strand",'Egeninsats &amp; Poäng'!F:F,"F4"),"")</f>
        <v>24</v>
      </c>
      <c r="G248" s="73" t="n">
        <f aca="false">SUMIFS('Egeninsats &amp; Poäng'!J:J,'Egeninsats &amp; Poäng'!C:C,"Kalle Strand",'Egeninsats &amp; Poäng'!F:F,"F4")</f>
        <v>0</v>
      </c>
      <c r="H248" s="74" t="n">
        <f aca="false">IFERROR(SUMIFS('Egeninsats &amp; Poäng'!K:K,'Egeninsats &amp; Poäng'!C:C,"Kalle Strand",'Egeninsats &amp; Poäng'!F:F,"F4")/SUMIFS('Egeninsats &amp; Poäng'!G:G,'Egeninsats &amp; Poäng'!C:C,"Kalle Strand",'Egeninsats &amp; Poäng'!F:F,"F4"),"")</f>
        <v>0.4</v>
      </c>
      <c r="I248" s="75" t="n">
        <f aca="false">IFERROR(SUMIFS('Egeninsats &amp; Poäng'!L:L,'Egeninsats &amp; Poäng'!C:C,"Kalle Strand",'Egeninsats &amp; Poäng'!F:F,"F4")/SUMIFS('Egeninsats &amp; Poäng'!G:G,'Egeninsats &amp; Poäng'!C:C,"Kalle Strand",'Egeninsats &amp; Poäng'!F:F,"F4"),"")</f>
        <v>0.04</v>
      </c>
      <c r="J248" s="76" t="n">
        <f aca="false">SUMIFS('Egeninsats &amp; Poäng'!M:M,'Egeninsats &amp; Poäng'!C:C,"Kalle Strand",'Egeninsats &amp; Poäng'!F:F,"F4")</f>
        <v>250</v>
      </c>
      <c r="K248" s="77" t="n">
        <f aca="false">IFERROR(J248/'Equity Dashboard'!E14,"")</f>
        <v>1</v>
      </c>
    </row>
    <row r="249" customFormat="false" ht="19.5" hidden="false" customHeight="true" outlineLevel="0" collapsed="false">
      <c r="B249" s="18" t="s">
        <v>76</v>
      </c>
      <c r="C249" s="67" t="str">
        <f aca="false">Projektinställningar!C28</f>
        <v>Production Fas 2</v>
      </c>
      <c r="D249" s="68" t="n">
        <f aca="false">SUMIFS('Egeninsats &amp; Poäng'!G:G,'Egeninsats &amp; Poäng'!C:C,"Kalle Strand",'Egeninsats &amp; Poäng'!F:F,"F5")</f>
        <v>0</v>
      </c>
      <c r="E249" s="68" t="str">
        <f aca="false">IFERROR(SUMIFS('Egeninsats &amp; Poäng'!H:H,'Egeninsats &amp; Poäng'!C:C,"Kalle Strand",'Egeninsats &amp; Poäng'!F:F,"F5")/SUMIFS('Egeninsats &amp; Poäng'!G:G,'Egeninsats &amp; Poäng'!C:C,"Kalle Strand",'Egeninsats &amp; Poäng'!F:F,"F5"),"")</f>
        <v/>
      </c>
      <c r="F249" s="68" t="str">
        <f aca="false">IFERROR(SUMIFS('Egeninsats &amp; Poäng'!I:I,'Egeninsats &amp; Poäng'!C:C,"Kalle Strand",'Egeninsats &amp; Poäng'!F:F,"F5")/SUMIFS('Egeninsats &amp; Poäng'!G:G,'Egeninsats &amp; Poäng'!C:C,"Kalle Strand",'Egeninsats &amp; Poäng'!F:F,"F5"),"")</f>
        <v/>
      </c>
      <c r="G249" s="68" t="n">
        <f aca="false">SUMIFS('Egeninsats &amp; Poäng'!J:J,'Egeninsats &amp; Poäng'!C:C,"Kalle Strand",'Egeninsats &amp; Poäng'!F:F,"F5")</f>
        <v>0</v>
      </c>
      <c r="H249" s="69" t="str">
        <f aca="false">IFERROR(SUMIFS('Egeninsats &amp; Poäng'!K:K,'Egeninsats &amp; Poäng'!C:C,"Kalle Strand",'Egeninsats &amp; Poäng'!F:F,"F5")/SUMIFS('Egeninsats &amp; Poäng'!G:G,'Egeninsats &amp; Poäng'!C:C,"Kalle Strand",'Egeninsats &amp; Poäng'!F:F,"F5"),"")</f>
        <v/>
      </c>
      <c r="I249" s="70" t="str">
        <f aca="false">IFERROR(SUMIFS('Egeninsats &amp; Poäng'!L:L,'Egeninsats &amp; Poäng'!C:C,"Kalle Strand",'Egeninsats &amp; Poäng'!F:F,"F5")/SUMIFS('Egeninsats &amp; Poäng'!G:G,'Egeninsats &amp; Poäng'!C:C,"Kalle Strand",'Egeninsats &amp; Poäng'!F:F,"F5"),"")</f>
        <v/>
      </c>
      <c r="J249" s="34" t="n">
        <f aca="false">SUMIFS('Egeninsats &amp; Poäng'!M:M,'Egeninsats &amp; Poäng'!C:C,"Kalle Strand",'Egeninsats &amp; Poäng'!F:F,"F5")</f>
        <v>0</v>
      </c>
      <c r="K249" s="71" t="n">
        <f aca="false">IFERROR(J249/'Equity Dashboard'!E14,"")</f>
        <v>0</v>
      </c>
    </row>
    <row r="250" customFormat="false" ht="19.5" hidden="false" customHeight="true" outlineLevel="0" collapsed="false">
      <c r="B250" s="23" t="s">
        <v>78</v>
      </c>
      <c r="C250" s="72" t="str">
        <f aca="false">Projektinställningar!C29</f>
        <v>Post-production</v>
      </c>
      <c r="D250" s="73" t="n">
        <f aca="false">SUMIFS('Egeninsats &amp; Poäng'!G:G,'Egeninsats &amp; Poäng'!C:C,"Kalle Strand",'Egeninsats &amp; Poäng'!F:F,"F6")</f>
        <v>0</v>
      </c>
      <c r="E250" s="73" t="str">
        <f aca="false">IFERROR(SUMIFS('Egeninsats &amp; Poäng'!H:H,'Egeninsats &amp; Poäng'!C:C,"Kalle Strand",'Egeninsats &amp; Poäng'!F:F,"F6")/SUMIFS('Egeninsats &amp; Poäng'!G:G,'Egeninsats &amp; Poäng'!C:C,"Kalle Strand",'Egeninsats &amp; Poäng'!F:F,"F6"),"")</f>
        <v/>
      </c>
      <c r="F250" s="73" t="str">
        <f aca="false">IFERROR(SUMIFS('Egeninsats &amp; Poäng'!I:I,'Egeninsats &amp; Poäng'!C:C,"Kalle Strand",'Egeninsats &amp; Poäng'!F:F,"F6")/SUMIFS('Egeninsats &amp; Poäng'!G:G,'Egeninsats &amp; Poäng'!C:C,"Kalle Strand",'Egeninsats &amp; Poäng'!F:F,"F6"),"")</f>
        <v/>
      </c>
      <c r="G250" s="73" t="n">
        <f aca="false">SUMIFS('Egeninsats &amp; Poäng'!J:J,'Egeninsats &amp; Poäng'!C:C,"Kalle Strand",'Egeninsats &amp; Poäng'!F:F,"F6")</f>
        <v>0</v>
      </c>
      <c r="H250" s="74" t="str">
        <f aca="false">IFERROR(SUMIFS('Egeninsats &amp; Poäng'!K:K,'Egeninsats &amp; Poäng'!C:C,"Kalle Strand",'Egeninsats &amp; Poäng'!F:F,"F6")/SUMIFS('Egeninsats &amp; Poäng'!G:G,'Egeninsats &amp; Poäng'!C:C,"Kalle Strand",'Egeninsats &amp; Poäng'!F:F,"F6"),"")</f>
        <v/>
      </c>
      <c r="I250" s="75" t="str">
        <f aca="false">IFERROR(SUMIFS('Egeninsats &amp; Poäng'!L:L,'Egeninsats &amp; Poäng'!C:C,"Kalle Strand",'Egeninsats &amp; Poäng'!F:F,"F6")/SUMIFS('Egeninsats &amp; Poäng'!G:G,'Egeninsats &amp; Poäng'!C:C,"Kalle Strand",'Egeninsats &amp; Poäng'!F:F,"F6"),"")</f>
        <v/>
      </c>
      <c r="J250" s="76" t="n">
        <f aca="false">SUMIFS('Egeninsats &amp; Poäng'!M:M,'Egeninsats &amp; Poäng'!C:C,"Kalle Strand",'Egeninsats &amp; Poäng'!F:F,"F6")</f>
        <v>0</v>
      </c>
      <c r="K250" s="77" t="n">
        <f aca="false">IFERROR(J250/'Equity Dashboard'!E14,"")</f>
        <v>0</v>
      </c>
    </row>
    <row r="251" customFormat="false" ht="19.5" hidden="false" customHeight="true" outlineLevel="0" collapsed="false">
      <c r="B251" s="18" t="s">
        <v>80</v>
      </c>
      <c r="C251" s="67" t="str">
        <f aca="false">Projektinställningar!C30</f>
        <v>Promotion / Lansering</v>
      </c>
      <c r="D251" s="68" t="n">
        <f aca="false">SUMIFS('Egeninsats &amp; Poäng'!G:G,'Egeninsats &amp; Poäng'!C:C,"Kalle Strand",'Egeninsats &amp; Poäng'!F:F,"F7")</f>
        <v>0</v>
      </c>
      <c r="E251" s="68" t="str">
        <f aca="false">IFERROR(SUMIFS('Egeninsats &amp; Poäng'!H:H,'Egeninsats &amp; Poäng'!C:C,"Kalle Strand",'Egeninsats &amp; Poäng'!F:F,"F7")/SUMIFS('Egeninsats &amp; Poäng'!G:G,'Egeninsats &amp; Poäng'!C:C,"Kalle Strand",'Egeninsats &amp; Poäng'!F:F,"F7"),"")</f>
        <v/>
      </c>
      <c r="F251" s="68" t="str">
        <f aca="false">IFERROR(SUMIFS('Egeninsats &amp; Poäng'!I:I,'Egeninsats &amp; Poäng'!C:C,"Kalle Strand",'Egeninsats &amp; Poäng'!F:F,"F7")/SUMIFS('Egeninsats &amp; Poäng'!G:G,'Egeninsats &amp; Poäng'!C:C,"Kalle Strand",'Egeninsats &amp; Poäng'!F:F,"F7"),"")</f>
        <v/>
      </c>
      <c r="G251" s="68" t="n">
        <f aca="false">SUMIFS('Egeninsats &amp; Poäng'!J:J,'Egeninsats &amp; Poäng'!C:C,"Kalle Strand",'Egeninsats &amp; Poäng'!F:F,"F7")</f>
        <v>0</v>
      </c>
      <c r="H251" s="69" t="str">
        <f aca="false">IFERROR(SUMIFS('Egeninsats &amp; Poäng'!K:K,'Egeninsats &amp; Poäng'!C:C,"Kalle Strand",'Egeninsats &amp; Poäng'!F:F,"F7")/SUMIFS('Egeninsats &amp; Poäng'!G:G,'Egeninsats &amp; Poäng'!C:C,"Kalle Strand",'Egeninsats &amp; Poäng'!F:F,"F7"),"")</f>
        <v/>
      </c>
      <c r="I251" s="70" t="str">
        <f aca="false">IFERROR(SUMIFS('Egeninsats &amp; Poäng'!L:L,'Egeninsats &amp; Poäng'!C:C,"Kalle Strand",'Egeninsats &amp; Poäng'!F:F,"F7")/SUMIFS('Egeninsats &amp; Poäng'!G:G,'Egeninsats &amp; Poäng'!C:C,"Kalle Strand",'Egeninsats &amp; Poäng'!F:F,"F7"),"")</f>
        <v/>
      </c>
      <c r="J251" s="34" t="n">
        <f aca="false">SUMIFS('Egeninsats &amp; Poäng'!M:M,'Egeninsats &amp; Poäng'!C:C,"Kalle Strand",'Egeninsats &amp; Poäng'!F:F,"F7")</f>
        <v>0</v>
      </c>
      <c r="K251" s="71" t="n">
        <f aca="false">IFERROR(J251/'Equity Dashboard'!E14,"")</f>
        <v>0</v>
      </c>
    </row>
    <row r="252" customFormat="false" ht="19.5" hidden="false" customHeight="true" outlineLevel="0" collapsed="false">
      <c r="B252" s="23" t="s">
        <v>82</v>
      </c>
      <c r="C252" s="72" t="str">
        <f aca="false">Projektinställningar!C31</f>
        <v>Övrigt</v>
      </c>
      <c r="D252" s="73" t="n">
        <f aca="false">SUMIFS('Egeninsats &amp; Poäng'!G:G,'Egeninsats &amp; Poäng'!C:C,"Kalle Strand",'Egeninsats &amp; Poäng'!F:F,"F8")</f>
        <v>0</v>
      </c>
      <c r="E252" s="73" t="str">
        <f aca="false">IFERROR(SUMIFS('Egeninsats &amp; Poäng'!H:H,'Egeninsats &amp; Poäng'!C:C,"Kalle Strand",'Egeninsats &amp; Poäng'!F:F,"F8")/SUMIFS('Egeninsats &amp; Poäng'!G:G,'Egeninsats &amp; Poäng'!C:C,"Kalle Strand",'Egeninsats &amp; Poäng'!F:F,"F8"),"")</f>
        <v/>
      </c>
      <c r="F252" s="73" t="str">
        <f aca="false">IFERROR(SUMIFS('Egeninsats &amp; Poäng'!I:I,'Egeninsats &amp; Poäng'!C:C,"Kalle Strand",'Egeninsats &amp; Poäng'!F:F,"F8")/SUMIFS('Egeninsats &amp; Poäng'!G:G,'Egeninsats &amp; Poäng'!C:C,"Kalle Strand",'Egeninsats &amp; Poäng'!F:F,"F8"),"")</f>
        <v/>
      </c>
      <c r="G252" s="73" t="n">
        <f aca="false">SUMIFS('Egeninsats &amp; Poäng'!J:J,'Egeninsats &amp; Poäng'!C:C,"Kalle Strand",'Egeninsats &amp; Poäng'!F:F,"F8")</f>
        <v>0</v>
      </c>
      <c r="H252" s="74" t="str">
        <f aca="false">IFERROR(SUMIFS('Egeninsats &amp; Poäng'!K:K,'Egeninsats &amp; Poäng'!C:C,"Kalle Strand",'Egeninsats &amp; Poäng'!F:F,"F8")/SUMIFS('Egeninsats &amp; Poäng'!G:G,'Egeninsats &amp; Poäng'!C:C,"Kalle Strand",'Egeninsats &amp; Poäng'!F:F,"F8"),"")</f>
        <v/>
      </c>
      <c r="I252" s="75" t="str">
        <f aca="false">IFERROR(SUMIFS('Egeninsats &amp; Poäng'!L:L,'Egeninsats &amp; Poäng'!C:C,"Kalle Strand",'Egeninsats &amp; Poäng'!F:F,"F8")/SUMIFS('Egeninsats &amp; Poäng'!G:G,'Egeninsats &amp; Poäng'!C:C,"Kalle Strand",'Egeninsats &amp; Poäng'!F:F,"F8"),"")</f>
        <v/>
      </c>
      <c r="J252" s="76" t="n">
        <f aca="false">SUMIFS('Egeninsats &amp; Poäng'!M:M,'Egeninsats &amp; Poäng'!C:C,"Kalle Strand",'Egeninsats &amp; Poäng'!F:F,"F8")</f>
        <v>0</v>
      </c>
      <c r="K252" s="77" t="n">
        <f aca="false">IFERROR(J252/'Equity Dashboard'!E14,"")</f>
        <v>0</v>
      </c>
    </row>
    <row r="253" customFormat="false" ht="21.75" hidden="false" customHeight="true" outlineLevel="0" collapsed="false">
      <c r="B253" s="78" t="s">
        <v>136</v>
      </c>
      <c r="C253" s="78"/>
      <c r="D253" s="79" t="n">
        <f aca="false">SUM(D245:D252)</f>
        <v>25</v>
      </c>
      <c r="E253" s="80"/>
      <c r="F253" s="80"/>
      <c r="G253" s="79" t="n">
        <f aca="false">SUM(G245:G252)</f>
        <v>0</v>
      </c>
      <c r="H253" s="80"/>
      <c r="I253" s="80"/>
      <c r="J253" s="81" t="n">
        <f aca="false">SUM(J245:J252)</f>
        <v>250</v>
      </c>
      <c r="K253" s="80"/>
    </row>
    <row r="254" customFormat="false" ht="12" hidden="false" customHeight="true" outlineLevel="0" collapsed="false"/>
    <row r="255" customFormat="false" ht="19.5" hidden="false" customHeight="true" outlineLevel="0" collapsed="false">
      <c r="B255" s="63" t="s">
        <v>265</v>
      </c>
      <c r="C255" s="63"/>
      <c r="D255" s="63"/>
      <c r="E255" s="63"/>
      <c r="F255" s="63"/>
      <c r="G255" s="63"/>
      <c r="H255" s="63"/>
      <c r="I255" s="63"/>
      <c r="J255" s="63"/>
      <c r="K255" s="63"/>
    </row>
    <row r="256" customFormat="false" ht="27.75" hidden="false" customHeight="true" outlineLevel="0" collapsed="false">
      <c r="B256" s="82" t="s">
        <v>266</v>
      </c>
      <c r="C256" s="82"/>
      <c r="D256" s="82"/>
      <c r="E256" s="82"/>
      <c r="F256" s="82"/>
      <c r="G256" s="82"/>
      <c r="H256" s="82"/>
      <c r="I256" s="82"/>
      <c r="J256" s="82"/>
      <c r="K256" s="82"/>
    </row>
    <row r="257" customFormat="false" ht="30" hidden="false" customHeight="true" outlineLevel="0" collapsed="false">
      <c r="B257" s="55" t="s">
        <v>231</v>
      </c>
      <c r="C257" s="55"/>
      <c r="D257" s="55"/>
      <c r="E257" s="55" t="s">
        <v>267</v>
      </c>
      <c r="F257" s="55"/>
      <c r="G257" s="55"/>
      <c r="H257" s="55" t="s">
        <v>233</v>
      </c>
      <c r="I257" s="55"/>
      <c r="J257" s="55"/>
    </row>
    <row r="258" customFormat="false" ht="19.5" hidden="false" customHeight="true" outlineLevel="0" collapsed="false">
      <c r="B258" s="83" t="s">
        <v>268</v>
      </c>
      <c r="C258" s="83"/>
      <c r="D258" s="83"/>
      <c r="E258" s="83" t="s">
        <v>268</v>
      </c>
      <c r="F258" s="83"/>
      <c r="G258" s="83"/>
      <c r="H258" s="83" t="s">
        <v>268</v>
      </c>
      <c r="I258" s="83"/>
      <c r="J258" s="83"/>
    </row>
    <row r="259" customFormat="false" ht="36" hidden="false" customHeight="true" outlineLevel="0" collapsed="false">
      <c r="B259" s="83" t="n">
        <f aca="false">'Waterfall Simulering'!D22</f>
        <v>0</v>
      </c>
      <c r="C259" s="83"/>
      <c r="D259" s="83"/>
      <c r="E259" s="83" t="n">
        <f aca="false">'Waterfall Simulering'!E22</f>
        <v>0</v>
      </c>
      <c r="F259" s="83"/>
      <c r="G259" s="83"/>
      <c r="H259" s="83" t="n">
        <f aca="false">'Waterfall Simulering'!F22</f>
        <v>0</v>
      </c>
      <c r="I259" s="83"/>
      <c r="J259" s="83"/>
    </row>
    <row r="260" customFormat="false" ht="12" hidden="false" customHeight="true" outlineLevel="0" collapsed="false">
      <c r="B260" s="84" t="n">
        <f aca="false">'Equity Dashboard'!F14*'Waterfall Simulering'!D22</f>
        <v>0</v>
      </c>
      <c r="E260" s="84" t="n">
        <f aca="false">'Equity Dashboard'!F14*'Waterfall Simulering'!E22</f>
        <v>0</v>
      </c>
      <c r="H260" s="84" t="n">
        <f aca="false">'Equity Dashboard'!F14*'Waterfall Simulering'!F22</f>
        <v>0</v>
      </c>
    </row>
    <row r="261" customFormat="false" ht="15.75" hidden="false" customHeight="true" outlineLevel="0" collapsed="false">
      <c r="B261" s="85" t="s">
        <v>269</v>
      </c>
      <c r="C261" s="85"/>
      <c r="D261" s="85"/>
      <c r="E261" s="85"/>
      <c r="F261" s="85"/>
      <c r="G261" s="85"/>
      <c r="H261" s="85"/>
      <c r="I261" s="85"/>
      <c r="J261" s="85"/>
      <c r="K261" s="85"/>
    </row>
  </sheetData>
  <mergeCells count="192">
    <mergeCell ref="B2:H2"/>
    <mergeCell ref="B3:H3"/>
    <mergeCell ref="B6:F6"/>
    <mergeCell ref="B7:F7"/>
    <mergeCell ref="B9:D9"/>
    <mergeCell ref="E9:G9"/>
    <mergeCell ref="H9:J9"/>
    <mergeCell ref="B10:D10"/>
    <mergeCell ref="E10:G10"/>
    <mergeCell ref="H10:J10"/>
    <mergeCell ref="B12:K12"/>
    <mergeCell ref="B22:C22"/>
    <mergeCell ref="B24:K24"/>
    <mergeCell ref="B25:K25"/>
    <mergeCell ref="B26:D26"/>
    <mergeCell ref="E26:G26"/>
    <mergeCell ref="H26:J26"/>
    <mergeCell ref="B27:D27"/>
    <mergeCell ref="E27:G27"/>
    <mergeCell ref="H27:J27"/>
    <mergeCell ref="B28:D28"/>
    <mergeCell ref="E28:G28"/>
    <mergeCell ref="H28:J28"/>
    <mergeCell ref="B30:K30"/>
    <mergeCell ref="B35:H35"/>
    <mergeCell ref="B36:H36"/>
    <mergeCell ref="B39:F39"/>
    <mergeCell ref="B40:F40"/>
    <mergeCell ref="B42:D42"/>
    <mergeCell ref="E42:G42"/>
    <mergeCell ref="H42:J42"/>
    <mergeCell ref="B43:D43"/>
    <mergeCell ref="E43:G43"/>
    <mergeCell ref="H43:J43"/>
    <mergeCell ref="B45:K45"/>
    <mergeCell ref="B55:C55"/>
    <mergeCell ref="B57:K57"/>
    <mergeCell ref="B58:K58"/>
    <mergeCell ref="B59:D59"/>
    <mergeCell ref="E59:G59"/>
    <mergeCell ref="H59:J59"/>
    <mergeCell ref="B60:D60"/>
    <mergeCell ref="E60:G60"/>
    <mergeCell ref="H60:J60"/>
    <mergeCell ref="B61:D61"/>
    <mergeCell ref="E61:G61"/>
    <mergeCell ref="H61:J61"/>
    <mergeCell ref="B63:K63"/>
    <mergeCell ref="B68:H68"/>
    <mergeCell ref="B69:H69"/>
    <mergeCell ref="B72:F72"/>
    <mergeCell ref="B73:F73"/>
    <mergeCell ref="B75:D75"/>
    <mergeCell ref="E75:G75"/>
    <mergeCell ref="H75:J75"/>
    <mergeCell ref="B76:D76"/>
    <mergeCell ref="E76:G76"/>
    <mergeCell ref="H76:J76"/>
    <mergeCell ref="B78:K78"/>
    <mergeCell ref="B88:C88"/>
    <mergeCell ref="B90:K90"/>
    <mergeCell ref="B91:K91"/>
    <mergeCell ref="B92:D92"/>
    <mergeCell ref="E92:G92"/>
    <mergeCell ref="H92:J92"/>
    <mergeCell ref="B93:D93"/>
    <mergeCell ref="E93:G93"/>
    <mergeCell ref="H93:J93"/>
    <mergeCell ref="B94:D94"/>
    <mergeCell ref="E94:G94"/>
    <mergeCell ref="H94:J94"/>
    <mergeCell ref="B96:K96"/>
    <mergeCell ref="B101:H101"/>
    <mergeCell ref="B102:H102"/>
    <mergeCell ref="B105:F105"/>
    <mergeCell ref="B106:F106"/>
    <mergeCell ref="B108:D108"/>
    <mergeCell ref="E108:G108"/>
    <mergeCell ref="H108:J108"/>
    <mergeCell ref="B109:D109"/>
    <mergeCell ref="E109:G109"/>
    <mergeCell ref="H109:J109"/>
    <mergeCell ref="B111:K111"/>
    <mergeCell ref="B121:C121"/>
    <mergeCell ref="B123:K123"/>
    <mergeCell ref="B124:K124"/>
    <mergeCell ref="B125:D125"/>
    <mergeCell ref="E125:G125"/>
    <mergeCell ref="H125:J125"/>
    <mergeCell ref="B126:D126"/>
    <mergeCell ref="E126:G126"/>
    <mergeCell ref="H126:J126"/>
    <mergeCell ref="B127:D127"/>
    <mergeCell ref="E127:G127"/>
    <mergeCell ref="H127:J127"/>
    <mergeCell ref="B129:K129"/>
    <mergeCell ref="B134:H134"/>
    <mergeCell ref="B135:H135"/>
    <mergeCell ref="B138:F138"/>
    <mergeCell ref="B139:F139"/>
    <mergeCell ref="B141:D141"/>
    <mergeCell ref="E141:G141"/>
    <mergeCell ref="H141:J141"/>
    <mergeCell ref="B142:D142"/>
    <mergeCell ref="E142:G142"/>
    <mergeCell ref="H142:J142"/>
    <mergeCell ref="B144:K144"/>
    <mergeCell ref="B154:C154"/>
    <mergeCell ref="B156:K156"/>
    <mergeCell ref="B157:K157"/>
    <mergeCell ref="B158:D158"/>
    <mergeCell ref="E158:G158"/>
    <mergeCell ref="H158:J158"/>
    <mergeCell ref="B159:D159"/>
    <mergeCell ref="E159:G159"/>
    <mergeCell ref="H159:J159"/>
    <mergeCell ref="B160:D160"/>
    <mergeCell ref="E160:G160"/>
    <mergeCell ref="H160:J160"/>
    <mergeCell ref="B162:K162"/>
    <mergeCell ref="B167:H167"/>
    <mergeCell ref="B168:H168"/>
    <mergeCell ref="B171:F171"/>
    <mergeCell ref="B172:F172"/>
    <mergeCell ref="B174:D174"/>
    <mergeCell ref="E174:G174"/>
    <mergeCell ref="H174:J174"/>
    <mergeCell ref="B175:D175"/>
    <mergeCell ref="E175:G175"/>
    <mergeCell ref="H175:J175"/>
    <mergeCell ref="B177:K177"/>
    <mergeCell ref="B187:C187"/>
    <mergeCell ref="B189:K189"/>
    <mergeCell ref="B190:K190"/>
    <mergeCell ref="B191:D191"/>
    <mergeCell ref="E191:G191"/>
    <mergeCell ref="H191:J191"/>
    <mergeCell ref="B192:D192"/>
    <mergeCell ref="E192:G192"/>
    <mergeCell ref="H192:J192"/>
    <mergeCell ref="B193:D193"/>
    <mergeCell ref="E193:G193"/>
    <mergeCell ref="H193:J193"/>
    <mergeCell ref="B195:K195"/>
    <mergeCell ref="B200:H200"/>
    <mergeCell ref="B201:H201"/>
    <mergeCell ref="B204:F204"/>
    <mergeCell ref="B205:F205"/>
    <mergeCell ref="B207:D207"/>
    <mergeCell ref="E207:G207"/>
    <mergeCell ref="H207:J207"/>
    <mergeCell ref="B208:D208"/>
    <mergeCell ref="E208:G208"/>
    <mergeCell ref="H208:J208"/>
    <mergeCell ref="B210:K210"/>
    <mergeCell ref="B220:C220"/>
    <mergeCell ref="B222:K222"/>
    <mergeCell ref="B223:K223"/>
    <mergeCell ref="B224:D224"/>
    <mergeCell ref="E224:G224"/>
    <mergeCell ref="H224:J224"/>
    <mergeCell ref="B225:D225"/>
    <mergeCell ref="E225:G225"/>
    <mergeCell ref="H225:J225"/>
    <mergeCell ref="B226:D226"/>
    <mergeCell ref="E226:G226"/>
    <mergeCell ref="H226:J226"/>
    <mergeCell ref="B228:K228"/>
    <mergeCell ref="B233:H233"/>
    <mergeCell ref="B234:H234"/>
    <mergeCell ref="B237:F237"/>
    <mergeCell ref="B238:F238"/>
    <mergeCell ref="B240:D240"/>
    <mergeCell ref="E240:G240"/>
    <mergeCell ref="H240:J240"/>
    <mergeCell ref="B241:D241"/>
    <mergeCell ref="E241:G241"/>
    <mergeCell ref="H241:J241"/>
    <mergeCell ref="B243:K243"/>
    <mergeCell ref="B253:C253"/>
    <mergeCell ref="B255:K255"/>
    <mergeCell ref="B256:K256"/>
    <mergeCell ref="B257:D257"/>
    <mergeCell ref="E257:G257"/>
    <mergeCell ref="H257:J257"/>
    <mergeCell ref="B258:D258"/>
    <mergeCell ref="E258:G258"/>
    <mergeCell ref="H258:J258"/>
    <mergeCell ref="B259:D259"/>
    <mergeCell ref="E259:G259"/>
    <mergeCell ref="H259:J259"/>
    <mergeCell ref="B261:K261"/>
  </mergeCells>
  <printOptions headings="false" gridLines="false" gridLinesSet="true" horizontalCentered="false" verticalCentered="false"/>
  <pageMargins left="0.6" right="0.6" top="0.7" bottom="0.7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7" manualBreakCount="7">
    <brk id="33" man="true" max="16383" min="0"/>
    <brk id="66" man="true" max="16383" min="0"/>
    <brk id="99" man="true" max="16383" min="0"/>
    <brk id="132" man="true" max="16383" min="0"/>
    <brk id="165" man="true" max="16383" min="0"/>
    <brk id="198" man="true" max="16383" min="0"/>
    <brk id="231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2026-09-14T18:41:33Z</dcterms:created>
  <dc:creator>openpyxl</dc:creator>
  <dc:description/>
  <dc:language>en-US</dc:language>
  <cp:lastModifiedBy/>
  <dcterms:modified xsi:type="dcterms:W3CDTF">2026-09-14T19:02:56Z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